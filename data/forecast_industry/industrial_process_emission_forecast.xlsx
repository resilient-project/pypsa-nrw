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forecast4\projects\Resilience\nrw_config\Data_update\"/>
    </mc:Choice>
  </mc:AlternateContent>
  <xr:revisionPtr revIDLastSave="0" documentId="13_ncr:1_{1C6C8F6D-FB92-4F49-A6D1-50C1C1736175}" xr6:coauthVersionLast="47" xr6:coauthVersionMax="47" xr10:uidLastSave="{00000000-0000-0000-0000-000000000000}"/>
  <bookViews>
    <workbookView xWindow="28680" yWindow="-120" windowWidth="29040" windowHeight="17520" tabRatio="868" activeTab="5" xr2:uid="{00000000-000D-0000-FFFF-FFFF00000000}"/>
  </bookViews>
  <sheets>
    <sheet name="Info" sheetId="1" r:id="rId1"/>
    <sheet name="Process-emission_LFS" sheetId="2" r:id="rId2"/>
    <sheet name="Abbildungen" sheetId="3" r:id="rId3"/>
    <sheet name="Assumptions" sheetId="4" r:id="rId4"/>
    <sheet name="Process-emissions" sheetId="5" r:id="rId5"/>
    <sheet name="Pivot_compare" sheetId="14" r:id="rId6"/>
    <sheet name="process_emissions_S1" sheetId="12" r:id="rId7"/>
    <sheet name="process_emissions_S2" sheetId="15" r:id="rId8"/>
    <sheet name="process_emissions" sheetId="16" r:id="rId9"/>
    <sheet name="Zement_O_Strom" sheetId="6" r:id="rId10"/>
    <sheet name="Kalk_O_Strom" sheetId="7" r:id="rId11"/>
    <sheet name="MVA_O_Strom" sheetId="8" r:id="rId12"/>
    <sheet name="Methanol_O_Strom" sheetId="9" r:id="rId13"/>
    <sheet name="Olefins_O_Strom" sheetId="10" r:id="rId14"/>
    <sheet name="Ammoniak_O_Strom" sheetId="11" r:id="rId15"/>
  </sheets>
  <calcPr calcId="191029"/>
  <pivotCaches>
    <pivotCache cacheId="3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4" l="1" a="1"/>
  <c r="C24" i="14" s="1"/>
  <c r="I25" i="14" a="1"/>
  <c r="I25" i="14" s="1"/>
  <c r="H25" i="14" a="1"/>
  <c r="H25" i="14" s="1"/>
  <c r="G25" i="14" a="1"/>
  <c r="G25" i="14" s="1"/>
  <c r="F25" i="14" a="1"/>
  <c r="F25" i="14" s="1"/>
  <c r="E25" i="14" a="1"/>
  <c r="E25" i="14" s="1"/>
  <c r="D25" i="14" a="1"/>
  <c r="D25" i="14" s="1"/>
  <c r="C25" i="14" a="1"/>
  <c r="C25" i="14" s="1"/>
  <c r="I24" i="14" a="1"/>
  <c r="I24" i="14" s="1"/>
  <c r="H24" i="14" a="1"/>
  <c r="H24" i="14" s="1"/>
  <c r="G24" i="14" a="1"/>
  <c r="G24" i="14" s="1"/>
  <c r="F24" i="14" a="1"/>
  <c r="F24" i="14" s="1"/>
  <c r="E24" i="14" a="1"/>
  <c r="E24" i="14" s="1"/>
  <c r="D24" i="14" a="1"/>
  <c r="D24" i="14" s="1"/>
  <c r="C56" i="8"/>
  <c r="D49" i="8" s="1"/>
  <c r="D48" i="8"/>
  <c r="D40" i="8"/>
  <c r="D32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C54" i="7"/>
  <c r="D53" i="7" s="1"/>
  <c r="E53" i="7" s="1"/>
  <c r="D52" i="7"/>
  <c r="D51" i="7"/>
  <c r="J51" i="7" s="1"/>
  <c r="I48" i="7"/>
  <c r="H48" i="7"/>
  <c r="D48" i="7"/>
  <c r="G48" i="7" s="1"/>
  <c r="H47" i="7"/>
  <c r="G47" i="7"/>
  <c r="E47" i="7"/>
  <c r="D47" i="7"/>
  <c r="F47" i="7" s="1"/>
  <c r="G46" i="7"/>
  <c r="F46" i="7"/>
  <c r="D46" i="7"/>
  <c r="E46" i="7" s="1"/>
  <c r="I45" i="7"/>
  <c r="F45" i="7"/>
  <c r="E45" i="7"/>
  <c r="D45" i="7"/>
  <c r="J45" i="7" s="1"/>
  <c r="D44" i="7"/>
  <c r="D43" i="7"/>
  <c r="J43" i="7" s="1"/>
  <c r="J42" i="7"/>
  <c r="H42" i="7"/>
  <c r="F42" i="7"/>
  <c r="D42" i="7"/>
  <c r="I42" i="7" s="1"/>
  <c r="J41" i="7"/>
  <c r="I41" i="7"/>
  <c r="G41" i="7"/>
  <c r="E41" i="7"/>
  <c r="D41" i="7"/>
  <c r="H41" i="7" s="1"/>
  <c r="I40" i="7"/>
  <c r="H40" i="7"/>
  <c r="F40" i="7"/>
  <c r="D40" i="7"/>
  <c r="G40" i="7" s="1"/>
  <c r="H39" i="7"/>
  <c r="G39" i="7"/>
  <c r="E39" i="7"/>
  <c r="D39" i="7"/>
  <c r="F39" i="7" s="1"/>
  <c r="G38" i="7"/>
  <c r="F38" i="7"/>
  <c r="D38" i="7"/>
  <c r="E38" i="7" s="1"/>
  <c r="I37" i="7"/>
  <c r="F37" i="7"/>
  <c r="E37" i="7"/>
  <c r="D37" i="7"/>
  <c r="J37" i="7" s="1"/>
  <c r="D36" i="7"/>
  <c r="D35" i="7"/>
  <c r="J35" i="7" s="1"/>
  <c r="J34" i="7"/>
  <c r="H34" i="7"/>
  <c r="G34" i="7"/>
  <c r="F34" i="7"/>
  <c r="E34" i="7"/>
  <c r="D34" i="7"/>
  <c r="I34" i="7" s="1"/>
  <c r="J33" i="7"/>
  <c r="I33" i="7"/>
  <c r="G33" i="7"/>
  <c r="F33" i="7"/>
  <c r="E33" i="7"/>
  <c r="D33" i="7"/>
  <c r="H33" i="7" s="1"/>
  <c r="I32" i="7"/>
  <c r="H32" i="7"/>
  <c r="F32" i="7"/>
  <c r="D32" i="7"/>
  <c r="G32" i="7" s="1"/>
  <c r="H31" i="7"/>
  <c r="G31" i="7"/>
  <c r="E31" i="7"/>
  <c r="D31" i="7"/>
  <c r="F31" i="7" s="1"/>
  <c r="F30" i="7"/>
  <c r="D30" i="7"/>
  <c r="E30" i="7" s="1"/>
  <c r="J29" i="7"/>
  <c r="I29" i="7"/>
  <c r="H29" i="7"/>
  <c r="F29" i="7"/>
  <c r="E29" i="7"/>
  <c r="D29" i="7"/>
  <c r="G29" i="7" s="1"/>
  <c r="J28" i="7"/>
  <c r="D28" i="7"/>
  <c r="I27" i="7"/>
  <c r="D27" i="7"/>
  <c r="J27" i="7" s="1"/>
  <c r="J26" i="7"/>
  <c r="H26" i="7"/>
  <c r="G26" i="7"/>
  <c r="F26" i="7"/>
  <c r="E26" i="7"/>
  <c r="D26" i="7"/>
  <c r="I26" i="7" s="1"/>
  <c r="J25" i="7"/>
  <c r="I25" i="7"/>
  <c r="G25" i="7"/>
  <c r="F25" i="7"/>
  <c r="E25" i="7"/>
  <c r="D25" i="7"/>
  <c r="H25" i="7" s="1"/>
  <c r="I24" i="7"/>
  <c r="H24" i="7"/>
  <c r="D24" i="7"/>
  <c r="H23" i="7"/>
  <c r="G23" i="7"/>
  <c r="E23" i="7"/>
  <c r="D23" i="7"/>
  <c r="F23" i="7" s="1"/>
  <c r="J22" i="7"/>
  <c r="G22" i="7"/>
  <c r="D22" i="7"/>
  <c r="J21" i="7"/>
  <c r="I21" i="7"/>
  <c r="H21" i="7"/>
  <c r="F21" i="7"/>
  <c r="E21" i="7"/>
  <c r="D21" i="7"/>
  <c r="G21" i="7" s="1"/>
  <c r="H20" i="7"/>
  <c r="D20" i="7"/>
  <c r="I19" i="7"/>
  <c r="D19" i="7"/>
  <c r="J18" i="7"/>
  <c r="H18" i="7"/>
  <c r="G18" i="7"/>
  <c r="F18" i="7"/>
  <c r="E18" i="7"/>
  <c r="D18" i="7"/>
  <c r="I18" i="7" s="1"/>
  <c r="J17" i="7"/>
  <c r="I17" i="7"/>
  <c r="G17" i="7"/>
  <c r="E17" i="7"/>
  <c r="D17" i="7"/>
  <c r="H17" i="7" s="1"/>
  <c r="F16" i="7"/>
  <c r="D16" i="7"/>
  <c r="H15" i="7"/>
  <c r="G15" i="7"/>
  <c r="D15" i="7"/>
  <c r="F14" i="7"/>
  <c r="D14" i="7"/>
  <c r="J13" i="7"/>
  <c r="I13" i="7"/>
  <c r="H13" i="7"/>
  <c r="F13" i="7"/>
  <c r="E13" i="7"/>
  <c r="D13" i="7"/>
  <c r="G13" i="7" s="1"/>
  <c r="J12" i="7"/>
  <c r="H12" i="7"/>
  <c r="G12" i="7"/>
  <c r="D12" i="7"/>
  <c r="F12" i="7" s="1"/>
  <c r="G11" i="7"/>
  <c r="D11" i="7"/>
  <c r="J10" i="7"/>
  <c r="H10" i="7"/>
  <c r="G10" i="7"/>
  <c r="F10" i="7"/>
  <c r="E10" i="7"/>
  <c r="D10" i="7"/>
  <c r="I10" i="7" s="1"/>
  <c r="I9" i="7"/>
  <c r="G9" i="7"/>
  <c r="D9" i="7"/>
  <c r="H9" i="7" s="1"/>
  <c r="H8" i="7"/>
  <c r="E8" i="7"/>
  <c r="D8" i="7"/>
  <c r="I8" i="7" s="1"/>
  <c r="D7" i="7"/>
  <c r="I6" i="7"/>
  <c r="G6" i="7"/>
  <c r="D6" i="7"/>
  <c r="J6" i="7" s="1"/>
  <c r="H5" i="7"/>
  <c r="E5" i="7"/>
  <c r="D5" i="7"/>
  <c r="G5" i="7" s="1"/>
  <c r="F4" i="7"/>
  <c r="D4" i="7"/>
  <c r="J4" i="7" s="1"/>
  <c r="J3" i="7"/>
  <c r="H3" i="7"/>
  <c r="G3" i="7"/>
  <c r="E3" i="7"/>
  <c r="D3" i="7"/>
  <c r="I3" i="7" s="1"/>
  <c r="D2" i="7"/>
  <c r="J2" i="7" s="1"/>
  <c r="C32" i="6"/>
  <c r="D27" i="6" s="1"/>
  <c r="D24" i="6"/>
  <c r="I24" i="6" s="1"/>
  <c r="D16" i="6"/>
  <c r="I16" i="6" s="1"/>
  <c r="D8" i="6"/>
  <c r="I8" i="6" s="1"/>
  <c r="F2" i="6"/>
  <c r="D2" i="6"/>
  <c r="J2" i="6" s="1"/>
  <c r="M37" i="3"/>
  <c r="J37" i="3"/>
  <c r="K37" i="3"/>
  <c r="O37" i="3"/>
  <c r="N37" i="3"/>
  <c r="L37" i="3"/>
  <c r="M30" i="3"/>
  <c r="J30" i="3"/>
  <c r="K30" i="3"/>
  <c r="O30" i="3"/>
  <c r="N30" i="3"/>
  <c r="L30" i="3"/>
  <c r="M23" i="3"/>
  <c r="J23" i="3"/>
  <c r="K23" i="3"/>
  <c r="O23" i="3"/>
  <c r="N23" i="3"/>
  <c r="L23" i="3"/>
  <c r="M16" i="3"/>
  <c r="J16" i="3"/>
  <c r="K16" i="3"/>
  <c r="O16" i="3"/>
  <c r="N16" i="3"/>
  <c r="L16" i="3"/>
  <c r="M9" i="3"/>
  <c r="O9" i="3"/>
  <c r="N9" i="3"/>
  <c r="L9" i="3"/>
  <c r="K9" i="3"/>
  <c r="J9" i="3"/>
  <c r="I30" i="2"/>
  <c r="I29" i="2"/>
  <c r="H29" i="2"/>
  <c r="G29" i="2"/>
  <c r="F29" i="2"/>
  <c r="E29" i="2"/>
  <c r="D29" i="2"/>
  <c r="C29" i="2"/>
  <c r="I28" i="2"/>
  <c r="I27" i="2"/>
  <c r="I26" i="2"/>
  <c r="I25" i="2"/>
  <c r="I24" i="2"/>
  <c r="I23" i="2"/>
  <c r="I22" i="2"/>
  <c r="H21" i="2"/>
  <c r="I21" i="2" s="1"/>
  <c r="G21" i="2"/>
  <c r="F21" i="2"/>
  <c r="E21" i="2"/>
  <c r="D21" i="2"/>
  <c r="C21" i="2"/>
  <c r="I20" i="2"/>
  <c r="I19" i="2"/>
  <c r="I18" i="2"/>
  <c r="I17" i="2"/>
  <c r="I16" i="2"/>
  <c r="I15" i="2"/>
  <c r="H14" i="2"/>
  <c r="I14" i="2" s="1"/>
  <c r="G14" i="2"/>
  <c r="F14" i="2"/>
  <c r="E14" i="2"/>
  <c r="D14" i="2"/>
  <c r="C14" i="2"/>
  <c r="I13" i="2"/>
  <c r="I12" i="2"/>
  <c r="I11" i="2"/>
  <c r="K10" i="2"/>
  <c r="I10" i="2"/>
  <c r="K9" i="2"/>
  <c r="K11" i="2" s="1"/>
  <c r="I9" i="2"/>
  <c r="K8" i="2"/>
  <c r="I8" i="2"/>
  <c r="I7" i="2"/>
  <c r="K6" i="2"/>
  <c r="H6" i="2"/>
  <c r="I6" i="2" s="1"/>
  <c r="G6" i="2"/>
  <c r="F6" i="2"/>
  <c r="E6" i="2"/>
  <c r="D6" i="2"/>
  <c r="C6" i="2"/>
  <c r="K5" i="2"/>
  <c r="I5" i="2"/>
  <c r="I4" i="2"/>
  <c r="K3" i="2"/>
  <c r="L3" i="2" s="1"/>
  <c r="I3" i="2"/>
  <c r="K2" i="2"/>
  <c r="K4" i="2" s="1"/>
  <c r="I2" i="2"/>
  <c r="I37" i="14" a="1"/>
  <c r="E37" i="14" a="1"/>
  <c r="H36" i="14" a="1"/>
  <c r="D36" i="14" a="1"/>
  <c r="G35" i="14" a="1"/>
  <c r="C35" i="14" a="1"/>
  <c r="F34" i="14" a="1"/>
  <c r="I33" i="14" a="1"/>
  <c r="E33" i="14" a="1"/>
  <c r="H32" i="14" a="1"/>
  <c r="D32" i="14" a="1"/>
  <c r="G31" i="14" a="1"/>
  <c r="C31" i="14" a="1"/>
  <c r="F30" i="14" a="1"/>
  <c r="I29" i="14" a="1"/>
  <c r="E29" i="14" a="1"/>
  <c r="H28" i="14" a="1"/>
  <c r="D28" i="14" a="1"/>
  <c r="G27" i="14" a="1"/>
  <c r="C27" i="14" a="1"/>
  <c r="F26" i="14" a="1"/>
  <c r="D37" i="14" a="1"/>
  <c r="G36" i="14" a="1"/>
  <c r="C36" i="14" a="1"/>
  <c r="F35" i="14" a="1"/>
  <c r="I34" i="14" a="1"/>
  <c r="E34" i="14" a="1"/>
  <c r="H33" i="14" a="1"/>
  <c r="D33" i="14" a="1"/>
  <c r="C32" i="14" a="1"/>
  <c r="I30" i="14" a="1"/>
  <c r="H29" i="14" a="1"/>
  <c r="G28" i="14" a="1"/>
  <c r="F27" i="14" a="1"/>
  <c r="E26" i="14" a="1"/>
  <c r="C37" i="14" a="1"/>
  <c r="I35" i="14" a="1"/>
  <c r="H34" i="14" a="1"/>
  <c r="G33" i="14" a="1"/>
  <c r="F32" i="14" a="1"/>
  <c r="I31" i="14" a="1"/>
  <c r="H30" i="14" a="1"/>
  <c r="G29" i="14" a="1"/>
  <c r="F28" i="14" a="1"/>
  <c r="H26" i="14" a="1"/>
  <c r="D26" i="14" a="1"/>
  <c r="F37" i="14" a="1"/>
  <c r="I36" i="14" a="1"/>
  <c r="E36" i="14" a="1"/>
  <c r="H35" i="14" a="1"/>
  <c r="D35" i="14" a="1"/>
  <c r="G34" i="14" a="1"/>
  <c r="H37" i="14" a="1"/>
  <c r="G32" i="14" a="1"/>
  <c r="F31" i="14" a="1"/>
  <c r="E30" i="14" a="1"/>
  <c r="D29" i="14" a="1"/>
  <c r="C28" i="14" a="1"/>
  <c r="I26" i="14" a="1"/>
  <c r="G37" i="14" a="1"/>
  <c r="F36" i="14" a="1"/>
  <c r="E35" i="14" a="1"/>
  <c r="D34" i="14" a="1"/>
  <c r="C33" i="14" a="1"/>
  <c r="E31" i="14" a="1"/>
  <c r="D30" i="14" a="1"/>
  <c r="C29" i="14" a="1"/>
  <c r="I27" i="14" a="1"/>
  <c r="E27" i="14" a="1"/>
  <c r="C34" i="14" a="1"/>
  <c r="F29" i="14" a="1"/>
  <c r="F33" i="14" a="1"/>
  <c r="I28" i="14" a="1"/>
  <c r="H31" i="14" a="1"/>
  <c r="G26" i="14" a="1"/>
  <c r="C26" i="14" a="1"/>
  <c r="I32" i="14" a="1"/>
  <c r="E28" i="14" a="1"/>
  <c r="E32" i="14" a="1"/>
  <c r="H27" i="14" a="1"/>
  <c r="D27" i="14" a="1"/>
  <c r="D31" i="14" a="1"/>
  <c r="G30" i="14" a="1"/>
  <c r="C30" i="14" a="1"/>
  <c r="C30" i="14" l="1"/>
  <c r="G30" i="14"/>
  <c r="D31" i="14"/>
  <c r="D27" i="14"/>
  <c r="H27" i="14"/>
  <c r="E32" i="14"/>
  <c r="E28" i="14"/>
  <c r="I32" i="14"/>
  <c r="C26" i="14"/>
  <c r="G26" i="14"/>
  <c r="H31" i="14"/>
  <c r="I28" i="14"/>
  <c r="F33" i="14"/>
  <c r="F29" i="14"/>
  <c r="C34" i="14"/>
  <c r="E27" i="14"/>
  <c r="I27" i="14"/>
  <c r="C29" i="14"/>
  <c r="D30" i="14"/>
  <c r="E31" i="14"/>
  <c r="C33" i="14"/>
  <c r="D34" i="14"/>
  <c r="E35" i="14"/>
  <c r="F36" i="14"/>
  <c r="G37" i="14"/>
  <c r="I26" i="14"/>
  <c r="C28" i="14"/>
  <c r="D29" i="14"/>
  <c r="E30" i="14"/>
  <c r="F31" i="14"/>
  <c r="G32" i="14"/>
  <c r="H37" i="14"/>
  <c r="G34" i="14"/>
  <c r="D35" i="14"/>
  <c r="H35" i="14"/>
  <c r="E36" i="14"/>
  <c r="I36" i="14"/>
  <c r="F37" i="14"/>
  <c r="D26" i="14"/>
  <c r="H26" i="14"/>
  <c r="F28" i="14"/>
  <c r="G29" i="14"/>
  <c r="H30" i="14"/>
  <c r="I31" i="14"/>
  <c r="F32" i="14"/>
  <c r="G33" i="14"/>
  <c r="H34" i="14"/>
  <c r="I35" i="14"/>
  <c r="C37" i="14"/>
  <c r="E26" i="14"/>
  <c r="F27" i="14"/>
  <c r="G28" i="14"/>
  <c r="H29" i="14"/>
  <c r="I30" i="14"/>
  <c r="C32" i="14"/>
  <c r="D33" i="14"/>
  <c r="H33" i="14"/>
  <c r="E34" i="14"/>
  <c r="I34" i="14"/>
  <c r="F35" i="14"/>
  <c r="C36" i="14"/>
  <c r="G36" i="14"/>
  <c r="D37" i="14"/>
  <c r="F26" i="14"/>
  <c r="C27" i="14"/>
  <c r="G27" i="14"/>
  <c r="D28" i="14"/>
  <c r="H28" i="14"/>
  <c r="E29" i="14"/>
  <c r="I29" i="14"/>
  <c r="F30" i="14"/>
  <c r="C31" i="14"/>
  <c r="G31" i="14"/>
  <c r="D32" i="14"/>
  <c r="H32" i="14"/>
  <c r="E33" i="14"/>
  <c r="I33" i="14"/>
  <c r="F34" i="14"/>
  <c r="C35" i="14"/>
  <c r="G35" i="14"/>
  <c r="D36" i="14"/>
  <c r="H36" i="14"/>
  <c r="E37" i="14"/>
  <c r="I37" i="14"/>
  <c r="J27" i="6"/>
  <c r="I27" i="6"/>
  <c r="H27" i="6"/>
  <c r="G27" i="6"/>
  <c r="F27" i="6"/>
  <c r="E27" i="6"/>
  <c r="L4" i="2"/>
  <c r="L12" i="2"/>
  <c r="H17" i="8"/>
  <c r="H18" i="8"/>
  <c r="H10" i="8"/>
  <c r="H19" i="8"/>
  <c r="H11" i="8"/>
  <c r="H3" i="8"/>
  <c r="J8" i="6"/>
  <c r="D10" i="6"/>
  <c r="J16" i="6"/>
  <c r="D18" i="6"/>
  <c r="J24" i="6"/>
  <c r="D26" i="6"/>
  <c r="J11" i="7"/>
  <c r="E11" i="7"/>
  <c r="J19" i="7"/>
  <c r="H19" i="7"/>
  <c r="F19" i="7"/>
  <c r="E19" i="7"/>
  <c r="J44" i="7"/>
  <c r="I44" i="7"/>
  <c r="H44" i="7"/>
  <c r="G44" i="7"/>
  <c r="F44" i="7"/>
  <c r="E44" i="7"/>
  <c r="I5" i="8"/>
  <c r="I13" i="8"/>
  <c r="I21" i="8"/>
  <c r="I17" i="8"/>
  <c r="I9" i="8"/>
  <c r="I18" i="8"/>
  <c r="I10" i="8"/>
  <c r="I19" i="8"/>
  <c r="I11" i="8"/>
  <c r="I20" i="8"/>
  <c r="I12" i="8"/>
  <c r="I4" i="8"/>
  <c r="E2" i="6"/>
  <c r="D9" i="6"/>
  <c r="D17" i="6"/>
  <c r="D25" i="6"/>
  <c r="E4" i="7"/>
  <c r="F5" i="7"/>
  <c r="F8" i="7"/>
  <c r="J9" i="7"/>
  <c r="F11" i="7"/>
  <c r="I12" i="7"/>
  <c r="E14" i="7"/>
  <c r="I14" i="7"/>
  <c r="H14" i="7"/>
  <c r="G16" i="7"/>
  <c r="E16" i="7"/>
  <c r="J16" i="7"/>
  <c r="G19" i="7"/>
  <c r="J6" i="8"/>
  <c r="J14" i="8"/>
  <c r="J22" i="8"/>
  <c r="J17" i="8"/>
  <c r="J9" i="8"/>
  <c r="J18" i="8"/>
  <c r="J10" i="8"/>
  <c r="J19" i="8"/>
  <c r="J11" i="8"/>
  <c r="J20" i="8"/>
  <c r="J12" i="8"/>
  <c r="J21" i="8"/>
  <c r="J13" i="8"/>
  <c r="J5" i="8"/>
  <c r="D54" i="7"/>
  <c r="F7" i="7"/>
  <c r="I7" i="7"/>
  <c r="J52" i="7"/>
  <c r="I52" i="7"/>
  <c r="H52" i="7"/>
  <c r="G52" i="7"/>
  <c r="F52" i="7"/>
  <c r="E52" i="7"/>
  <c r="K7" i="8"/>
  <c r="K15" i="8"/>
  <c r="K23" i="8"/>
  <c r="G2" i="6"/>
  <c r="D7" i="6"/>
  <c r="E8" i="6"/>
  <c r="D15" i="6"/>
  <c r="E16" i="6"/>
  <c r="D23" i="6"/>
  <c r="E24" i="6"/>
  <c r="D31" i="6"/>
  <c r="E2" i="7"/>
  <c r="F3" i="7"/>
  <c r="G4" i="7"/>
  <c r="I5" i="7"/>
  <c r="E7" i="7"/>
  <c r="H11" i="7"/>
  <c r="G14" i="7"/>
  <c r="H16" i="7"/>
  <c r="I20" i="7"/>
  <c r="G20" i="7"/>
  <c r="F20" i="7"/>
  <c r="K8" i="8"/>
  <c r="K16" i="8"/>
  <c r="K24" i="8"/>
  <c r="K17" i="8"/>
  <c r="K18" i="8"/>
  <c r="K10" i="8"/>
  <c r="K19" i="8"/>
  <c r="K11" i="8"/>
  <c r="K20" i="8"/>
  <c r="K21" i="8"/>
  <c r="K13" i="8"/>
  <c r="K22" i="8"/>
  <c r="K14" i="8"/>
  <c r="K6" i="8"/>
  <c r="H2" i="6"/>
  <c r="D6" i="6"/>
  <c r="F8" i="6"/>
  <c r="D14" i="6"/>
  <c r="F16" i="6"/>
  <c r="D22" i="6"/>
  <c r="F24" i="6"/>
  <c r="D30" i="6"/>
  <c r="F2" i="7"/>
  <c r="H4" i="7"/>
  <c r="J5" i="7"/>
  <c r="G7" i="7"/>
  <c r="I11" i="7"/>
  <c r="J14" i="7"/>
  <c r="I16" i="7"/>
  <c r="E20" i="7"/>
  <c r="J53" i="7"/>
  <c r="I53" i="7"/>
  <c r="H53" i="7"/>
  <c r="G53" i="7"/>
  <c r="F53" i="7"/>
  <c r="K9" i="8"/>
  <c r="K32" i="8"/>
  <c r="L2" i="2"/>
  <c r="I2" i="6"/>
  <c r="D5" i="6"/>
  <c r="G8" i="6"/>
  <c r="D13" i="6"/>
  <c r="G16" i="6"/>
  <c r="D21" i="6"/>
  <c r="G24" i="6"/>
  <c r="D29" i="6"/>
  <c r="G2" i="7"/>
  <c r="I4" i="7"/>
  <c r="E6" i="7"/>
  <c r="H6" i="7"/>
  <c r="H7" i="7"/>
  <c r="E9" i="7"/>
  <c r="F15" i="7"/>
  <c r="J15" i="7"/>
  <c r="I15" i="7"/>
  <c r="E22" i="7"/>
  <c r="I22" i="7"/>
  <c r="H22" i="7"/>
  <c r="G24" i="7"/>
  <c r="E24" i="7"/>
  <c r="J24" i="7"/>
  <c r="F2" i="8"/>
  <c r="F10" i="8"/>
  <c r="F18" i="8"/>
  <c r="K40" i="8"/>
  <c r="F17" i="8"/>
  <c r="F9" i="8"/>
  <c r="D4" i="6"/>
  <c r="H8" i="6"/>
  <c r="D12" i="6"/>
  <c r="H16" i="6"/>
  <c r="D20" i="6"/>
  <c r="H24" i="6"/>
  <c r="D28" i="6"/>
  <c r="H2" i="7"/>
  <c r="F6" i="7"/>
  <c r="J7" i="7"/>
  <c r="F9" i="7"/>
  <c r="E12" i="7"/>
  <c r="E15" i="7"/>
  <c r="J20" i="7"/>
  <c r="F22" i="7"/>
  <c r="F24" i="7"/>
  <c r="J36" i="7"/>
  <c r="I36" i="7"/>
  <c r="H36" i="7"/>
  <c r="G36" i="7"/>
  <c r="F36" i="7"/>
  <c r="E36" i="7"/>
  <c r="G3" i="8"/>
  <c r="G11" i="8"/>
  <c r="G19" i="8"/>
  <c r="K48" i="8"/>
  <c r="G17" i="8"/>
  <c r="G9" i="8"/>
  <c r="G18" i="8"/>
  <c r="G10" i="8"/>
  <c r="G2" i="8"/>
  <c r="D3" i="6"/>
  <c r="D11" i="6"/>
  <c r="D19" i="6"/>
  <c r="I2" i="7"/>
  <c r="G8" i="7"/>
  <c r="J8" i="7"/>
  <c r="I28" i="7"/>
  <c r="H28" i="7"/>
  <c r="G28" i="7"/>
  <c r="F28" i="7"/>
  <c r="E28" i="7"/>
  <c r="H4" i="8"/>
  <c r="H12" i="8"/>
  <c r="H20" i="8"/>
  <c r="K49" i="8"/>
  <c r="J49" i="8"/>
  <c r="I49" i="8"/>
  <c r="H49" i="8"/>
  <c r="G49" i="8"/>
  <c r="F49" i="8"/>
  <c r="G30" i="7"/>
  <c r="H2" i="8"/>
  <c r="I3" i="8"/>
  <c r="J4" i="8"/>
  <c r="K5" i="8"/>
  <c r="F8" i="8"/>
  <c r="F16" i="8"/>
  <c r="F24" i="8"/>
  <c r="D31" i="8"/>
  <c r="F32" i="8"/>
  <c r="D39" i="8"/>
  <c r="F40" i="8"/>
  <c r="D47" i="8"/>
  <c r="F48" i="8"/>
  <c r="D55" i="8"/>
  <c r="D56" i="8"/>
  <c r="I23" i="7"/>
  <c r="E27" i="7"/>
  <c r="H30" i="7"/>
  <c r="I31" i="7"/>
  <c r="J32" i="7"/>
  <c r="E35" i="7"/>
  <c r="G37" i="7"/>
  <c r="H38" i="7"/>
  <c r="I39" i="7"/>
  <c r="J40" i="7"/>
  <c r="E43" i="7"/>
  <c r="G45" i="7"/>
  <c r="H46" i="7"/>
  <c r="I47" i="7"/>
  <c r="J48" i="7"/>
  <c r="D50" i="7"/>
  <c r="E51" i="7"/>
  <c r="I2" i="8"/>
  <c r="J3" i="8"/>
  <c r="K4" i="8"/>
  <c r="F7" i="8"/>
  <c r="G8" i="8"/>
  <c r="H9" i="8"/>
  <c r="K12" i="8"/>
  <c r="F15" i="8"/>
  <c r="G16" i="8"/>
  <c r="F23" i="8"/>
  <c r="G24" i="8"/>
  <c r="D30" i="8"/>
  <c r="G32" i="8"/>
  <c r="D38" i="8"/>
  <c r="G40" i="8"/>
  <c r="D46" i="8"/>
  <c r="G48" i="8"/>
  <c r="D54" i="8"/>
  <c r="J23" i="7"/>
  <c r="F27" i="7"/>
  <c r="I30" i="7"/>
  <c r="J31" i="7"/>
  <c r="F35" i="7"/>
  <c r="H37" i="7"/>
  <c r="I38" i="7"/>
  <c r="J39" i="7"/>
  <c r="E42" i="7"/>
  <c r="F43" i="7"/>
  <c r="H45" i="7"/>
  <c r="I46" i="7"/>
  <c r="J47" i="7"/>
  <c r="D49" i="7"/>
  <c r="F51" i="7"/>
  <c r="J2" i="8"/>
  <c r="K3" i="8"/>
  <c r="F6" i="8"/>
  <c r="G7" i="8"/>
  <c r="H8" i="8"/>
  <c r="F14" i="8"/>
  <c r="G15" i="8"/>
  <c r="H16" i="8"/>
  <c r="F22" i="8"/>
  <c r="G23" i="8"/>
  <c r="H24" i="8"/>
  <c r="D29" i="8"/>
  <c r="H32" i="8"/>
  <c r="D37" i="8"/>
  <c r="H40" i="8"/>
  <c r="D45" i="8"/>
  <c r="H48" i="8"/>
  <c r="D53" i="8"/>
  <c r="G27" i="7"/>
  <c r="J30" i="7"/>
  <c r="G35" i="7"/>
  <c r="J38" i="7"/>
  <c r="G43" i="7"/>
  <c r="J46" i="7"/>
  <c r="G51" i="7"/>
  <c r="K2" i="8"/>
  <c r="F5" i="8"/>
  <c r="G6" i="8"/>
  <c r="H7" i="8"/>
  <c r="I8" i="8"/>
  <c r="F13" i="8"/>
  <c r="G14" i="8"/>
  <c r="H15" i="8"/>
  <c r="I16" i="8"/>
  <c r="F21" i="8"/>
  <c r="G22" i="8"/>
  <c r="H23" i="8"/>
  <c r="I24" i="8"/>
  <c r="D28" i="8"/>
  <c r="I32" i="8"/>
  <c r="D36" i="8"/>
  <c r="I40" i="8"/>
  <c r="D44" i="8"/>
  <c r="I48" i="8"/>
  <c r="D52" i="8"/>
  <c r="F17" i="7"/>
  <c r="H27" i="7"/>
  <c r="E32" i="7"/>
  <c r="H35" i="7"/>
  <c r="E40" i="7"/>
  <c r="F41" i="7"/>
  <c r="G42" i="7"/>
  <c r="H43" i="7"/>
  <c r="E48" i="7"/>
  <c r="H51" i="7"/>
  <c r="F4" i="8"/>
  <c r="G5" i="8"/>
  <c r="H6" i="8"/>
  <c r="I7" i="8"/>
  <c r="J8" i="8"/>
  <c r="F12" i="8"/>
  <c r="G13" i="8"/>
  <c r="H14" i="8"/>
  <c r="I15" i="8"/>
  <c r="J16" i="8"/>
  <c r="F20" i="8"/>
  <c r="G21" i="8"/>
  <c r="H22" i="8"/>
  <c r="I23" i="8"/>
  <c r="J24" i="8"/>
  <c r="D27" i="8"/>
  <c r="J32" i="8"/>
  <c r="D35" i="8"/>
  <c r="J40" i="8"/>
  <c r="D43" i="8"/>
  <c r="J48" i="8"/>
  <c r="D51" i="8"/>
  <c r="I35" i="7"/>
  <c r="I43" i="7"/>
  <c r="F48" i="7"/>
  <c r="I51" i="7"/>
  <c r="F3" i="8"/>
  <c r="G4" i="8"/>
  <c r="H5" i="8"/>
  <c r="I6" i="8"/>
  <c r="J7" i="8"/>
  <c r="F11" i="8"/>
  <c r="G12" i="8"/>
  <c r="H13" i="8"/>
  <c r="I14" i="8"/>
  <c r="J15" i="8"/>
  <c r="F19" i="8"/>
  <c r="G20" i="8"/>
  <c r="H21" i="8"/>
  <c r="I22" i="8"/>
  <c r="J23" i="8"/>
  <c r="D26" i="8"/>
  <c r="D34" i="8"/>
  <c r="D42" i="8"/>
  <c r="D50" i="8"/>
  <c r="D25" i="8"/>
  <c r="D33" i="8"/>
  <c r="D41" i="8"/>
  <c r="J11" i="6" l="1"/>
  <c r="I11" i="6"/>
  <c r="H11" i="6"/>
  <c r="G11" i="6"/>
  <c r="F11" i="6"/>
  <c r="E11" i="6"/>
  <c r="E4" i="6"/>
  <c r="J4" i="6"/>
  <c r="I4" i="6"/>
  <c r="H4" i="6"/>
  <c r="G4" i="6"/>
  <c r="F4" i="6"/>
  <c r="F21" i="6"/>
  <c r="E21" i="6"/>
  <c r="J21" i="6"/>
  <c r="I21" i="6"/>
  <c r="H21" i="6"/>
  <c r="G21" i="6"/>
  <c r="G22" i="6"/>
  <c r="F22" i="6"/>
  <c r="E22" i="6"/>
  <c r="J22" i="6"/>
  <c r="I22" i="6"/>
  <c r="H22" i="6"/>
  <c r="H31" i="6"/>
  <c r="G31" i="6"/>
  <c r="F31" i="6"/>
  <c r="E31" i="6"/>
  <c r="J31" i="6"/>
  <c r="I31" i="6"/>
  <c r="J17" i="6"/>
  <c r="I17" i="6"/>
  <c r="H17" i="6"/>
  <c r="G17" i="6"/>
  <c r="F17" i="6"/>
  <c r="E17" i="6"/>
  <c r="J9" i="6"/>
  <c r="I9" i="6"/>
  <c r="H9" i="6"/>
  <c r="G9" i="6"/>
  <c r="F9" i="6"/>
  <c r="E9" i="6"/>
  <c r="I53" i="8"/>
  <c r="H53" i="8"/>
  <c r="G53" i="8"/>
  <c r="F53" i="8"/>
  <c r="K53" i="8"/>
  <c r="J53" i="8"/>
  <c r="G14" i="6"/>
  <c r="F14" i="6"/>
  <c r="E14" i="6"/>
  <c r="J14" i="6"/>
  <c r="I14" i="6"/>
  <c r="H14" i="6"/>
  <c r="J26" i="6"/>
  <c r="I26" i="6"/>
  <c r="H26" i="6"/>
  <c r="G26" i="6"/>
  <c r="F26" i="6"/>
  <c r="E26" i="6"/>
  <c r="I29" i="8"/>
  <c r="H29" i="8"/>
  <c r="G29" i="8"/>
  <c r="F29" i="8"/>
  <c r="K29" i="8"/>
  <c r="J29" i="8"/>
  <c r="K47" i="8"/>
  <c r="J47" i="8"/>
  <c r="I47" i="8"/>
  <c r="H47" i="8"/>
  <c r="G47" i="8"/>
  <c r="F47" i="8"/>
  <c r="J3" i="6"/>
  <c r="I3" i="6"/>
  <c r="H3" i="6"/>
  <c r="G3" i="6"/>
  <c r="F3" i="6"/>
  <c r="E3" i="6"/>
  <c r="H36" i="8"/>
  <c r="G36" i="8"/>
  <c r="F36" i="8"/>
  <c r="K36" i="8"/>
  <c r="J36" i="8"/>
  <c r="I36" i="8"/>
  <c r="K39" i="8"/>
  <c r="J39" i="8"/>
  <c r="I39" i="8"/>
  <c r="H39" i="8"/>
  <c r="G39" i="8"/>
  <c r="F39" i="8"/>
  <c r="I45" i="8"/>
  <c r="H45" i="8"/>
  <c r="G45" i="8"/>
  <c r="F45" i="8"/>
  <c r="K45" i="8"/>
  <c r="J45" i="8"/>
  <c r="E20" i="6"/>
  <c r="J20" i="6"/>
  <c r="I20" i="6"/>
  <c r="H20" i="6"/>
  <c r="G20" i="6"/>
  <c r="F20" i="6"/>
  <c r="F5" i="6"/>
  <c r="E5" i="6"/>
  <c r="J5" i="6"/>
  <c r="I5" i="6"/>
  <c r="H5" i="6"/>
  <c r="G5" i="6"/>
  <c r="G6" i="6"/>
  <c r="F6" i="6"/>
  <c r="E6" i="6"/>
  <c r="J6" i="6"/>
  <c r="I6" i="6"/>
  <c r="H6" i="6"/>
  <c r="H15" i="6"/>
  <c r="G15" i="6"/>
  <c r="F15" i="6"/>
  <c r="E15" i="6"/>
  <c r="J15" i="6"/>
  <c r="I15" i="6"/>
  <c r="F42" i="8"/>
  <c r="K42" i="8"/>
  <c r="J42" i="8"/>
  <c r="I42" i="8"/>
  <c r="H42" i="8"/>
  <c r="G42" i="8"/>
  <c r="G43" i="8"/>
  <c r="F43" i="8"/>
  <c r="K43" i="8"/>
  <c r="J43" i="8"/>
  <c r="I43" i="8"/>
  <c r="H43" i="8"/>
  <c r="H44" i="8"/>
  <c r="G44" i="8"/>
  <c r="F44" i="8"/>
  <c r="K44" i="8"/>
  <c r="J44" i="8"/>
  <c r="I44" i="8"/>
  <c r="J30" i="8"/>
  <c r="I30" i="8"/>
  <c r="H30" i="8"/>
  <c r="G30" i="8"/>
  <c r="F30" i="8"/>
  <c r="K30" i="8"/>
  <c r="F34" i="8"/>
  <c r="K34" i="8"/>
  <c r="J34" i="8"/>
  <c r="I34" i="8"/>
  <c r="H34" i="8"/>
  <c r="G34" i="8"/>
  <c r="E28" i="6"/>
  <c r="J28" i="6"/>
  <c r="I28" i="6"/>
  <c r="H28" i="6"/>
  <c r="G28" i="6"/>
  <c r="F28" i="6"/>
  <c r="K41" i="8"/>
  <c r="J41" i="8"/>
  <c r="I41" i="8"/>
  <c r="H41" i="8"/>
  <c r="G41" i="8"/>
  <c r="F41" i="8"/>
  <c r="G27" i="8"/>
  <c r="F27" i="8"/>
  <c r="K27" i="8"/>
  <c r="J27" i="8"/>
  <c r="I27" i="8"/>
  <c r="H27" i="8"/>
  <c r="H28" i="8"/>
  <c r="G28" i="8"/>
  <c r="F28" i="8"/>
  <c r="K28" i="8"/>
  <c r="J28" i="8"/>
  <c r="I28" i="8"/>
  <c r="H49" i="7"/>
  <c r="H54" i="7" s="1"/>
  <c r="G49" i="7"/>
  <c r="F49" i="7"/>
  <c r="F54" i="7" s="1"/>
  <c r="E49" i="7"/>
  <c r="J49" i="7"/>
  <c r="J54" i="7" s="1"/>
  <c r="I49" i="7"/>
  <c r="J46" i="8"/>
  <c r="I46" i="8"/>
  <c r="H46" i="8"/>
  <c r="G46" i="8"/>
  <c r="F46" i="8"/>
  <c r="K46" i="8"/>
  <c r="K31" i="8"/>
  <c r="J31" i="8"/>
  <c r="I31" i="8"/>
  <c r="H31" i="8"/>
  <c r="G31" i="8"/>
  <c r="F31" i="8"/>
  <c r="G54" i="7"/>
  <c r="J18" i="6"/>
  <c r="I18" i="6"/>
  <c r="H18" i="6"/>
  <c r="G18" i="6"/>
  <c r="F18" i="6"/>
  <c r="E18" i="6"/>
  <c r="H23" i="6"/>
  <c r="G23" i="6"/>
  <c r="F23" i="6"/>
  <c r="E23" i="6"/>
  <c r="J23" i="6"/>
  <c r="I23" i="6"/>
  <c r="F26" i="8"/>
  <c r="K26" i="8"/>
  <c r="J26" i="8"/>
  <c r="I26" i="8"/>
  <c r="H26" i="8"/>
  <c r="G26" i="8"/>
  <c r="G35" i="8"/>
  <c r="F35" i="8"/>
  <c r="K35" i="8"/>
  <c r="J35" i="8"/>
  <c r="I35" i="8"/>
  <c r="H35" i="8"/>
  <c r="J54" i="8"/>
  <c r="I54" i="8"/>
  <c r="H54" i="8"/>
  <c r="G54" i="8"/>
  <c r="F54" i="8"/>
  <c r="K54" i="8"/>
  <c r="K33" i="8"/>
  <c r="J33" i="8"/>
  <c r="I33" i="8"/>
  <c r="H33" i="8"/>
  <c r="G33" i="8"/>
  <c r="F33" i="8"/>
  <c r="I37" i="8"/>
  <c r="H37" i="8"/>
  <c r="G37" i="8"/>
  <c r="F37" i="8"/>
  <c r="K37" i="8"/>
  <c r="J37" i="8"/>
  <c r="I50" i="7"/>
  <c r="H50" i="7"/>
  <c r="G50" i="7"/>
  <c r="F50" i="7"/>
  <c r="E50" i="7"/>
  <c r="E54" i="7" s="1"/>
  <c r="J50" i="7"/>
  <c r="I54" i="7"/>
  <c r="E12" i="6"/>
  <c r="J12" i="6"/>
  <c r="I12" i="6"/>
  <c r="H12" i="6"/>
  <c r="G12" i="6"/>
  <c r="F12" i="6"/>
  <c r="F29" i="6"/>
  <c r="E29" i="6"/>
  <c r="J29" i="6"/>
  <c r="I29" i="6"/>
  <c r="H29" i="6"/>
  <c r="G29" i="6"/>
  <c r="G30" i="6"/>
  <c r="F30" i="6"/>
  <c r="E30" i="6"/>
  <c r="J30" i="6"/>
  <c r="I30" i="6"/>
  <c r="H30" i="6"/>
  <c r="H7" i="6"/>
  <c r="G7" i="6"/>
  <c r="F7" i="6"/>
  <c r="E7" i="6"/>
  <c r="J7" i="6"/>
  <c r="I7" i="6"/>
  <c r="F50" i="8"/>
  <c r="K50" i="8"/>
  <c r="J50" i="8"/>
  <c r="I50" i="8"/>
  <c r="H50" i="8"/>
  <c r="G50" i="8"/>
  <c r="F13" i="6"/>
  <c r="E13" i="6"/>
  <c r="J13" i="6"/>
  <c r="I13" i="6"/>
  <c r="H13" i="6"/>
  <c r="G13" i="6"/>
  <c r="K25" i="8"/>
  <c r="K56" i="8" s="1"/>
  <c r="J25" i="8"/>
  <c r="J56" i="8" s="1"/>
  <c r="I25" i="8"/>
  <c r="I56" i="8" s="1"/>
  <c r="H25" i="8"/>
  <c r="H56" i="8" s="1"/>
  <c r="G25" i="8"/>
  <c r="G56" i="8" s="1"/>
  <c r="F25" i="8"/>
  <c r="F56" i="8" s="1"/>
  <c r="G51" i="8"/>
  <c r="F51" i="8"/>
  <c r="K51" i="8"/>
  <c r="J51" i="8"/>
  <c r="I51" i="8"/>
  <c r="H51" i="8"/>
  <c r="H52" i="8"/>
  <c r="G52" i="8"/>
  <c r="F52" i="8"/>
  <c r="K52" i="8"/>
  <c r="J52" i="8"/>
  <c r="I52" i="8"/>
  <c r="J38" i="8"/>
  <c r="I38" i="8"/>
  <c r="H38" i="8"/>
  <c r="G38" i="8"/>
  <c r="F38" i="8"/>
  <c r="K38" i="8"/>
  <c r="K55" i="8"/>
  <c r="J55" i="8"/>
  <c r="I55" i="8"/>
  <c r="H55" i="8"/>
  <c r="G55" i="8"/>
  <c r="F55" i="8"/>
  <c r="J19" i="6"/>
  <c r="I19" i="6"/>
  <c r="H19" i="6"/>
  <c r="G19" i="6"/>
  <c r="F19" i="6"/>
  <c r="E19" i="6"/>
  <c r="D32" i="6"/>
  <c r="J25" i="6"/>
  <c r="I25" i="6"/>
  <c r="H25" i="6"/>
  <c r="G25" i="6"/>
  <c r="F25" i="6"/>
  <c r="E25" i="6"/>
  <c r="J10" i="6"/>
  <c r="I10" i="6"/>
  <c r="H10" i="6"/>
  <c r="G10" i="6"/>
  <c r="F10" i="6"/>
  <c r="E10" i="6"/>
  <c r="H32" i="6" l="1"/>
  <c r="G32" i="6"/>
  <c r="F32" i="6"/>
  <c r="E32" i="6"/>
  <c r="J32" i="6"/>
  <c r="I3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<sst xmlns="http://schemas.openxmlformats.org/spreadsheetml/2006/main" count="9072" uniqueCount="406">
  <si>
    <t>latitude</t>
  </si>
  <si>
    <t>longitude</t>
  </si>
  <si>
    <t>Industrie-CCS</t>
  </si>
  <si>
    <t>Industry</t>
  </si>
  <si>
    <t>CO2-Abscheidung [Mt/a]</t>
  </si>
  <si>
    <t>Orientierungsszenario_Strom</t>
  </si>
  <si>
    <t>Cement clinker</t>
  </si>
  <si>
    <t>municipal waste incinerator.</t>
  </si>
  <si>
    <t>Sektor</t>
  </si>
  <si>
    <t>Produktgruppe</t>
  </si>
  <si>
    <t>[%]</t>
  </si>
  <si>
    <t>CO2-Abscheidung [t/a]</t>
  </si>
  <si>
    <t xml:space="preserve">delta </t>
  </si>
  <si>
    <t>Nichtmetallische Mineralien</t>
  </si>
  <si>
    <t>Zementklinker (2.A.1)</t>
  </si>
  <si>
    <t>Zement_O_Strom</t>
  </si>
  <si>
    <t>Kalk (2.A.2)</t>
  </si>
  <si>
    <t>Kalk_O_Strom</t>
  </si>
  <si>
    <t>*Glas (2.A.3)</t>
  </si>
  <si>
    <t>Summe Abscheidung [NM]</t>
  </si>
  <si>
    <t>*Keramik (2.A.4a)</t>
  </si>
  <si>
    <t>MVA_O_Strom</t>
  </si>
  <si>
    <t xml:space="preserve">Summe Abscheidung </t>
  </si>
  <si>
    <t>Chemie</t>
  </si>
  <si>
    <t>Ammoniak (2.B.1)</t>
  </si>
  <si>
    <t>CO2-Bedarf [t/a]</t>
  </si>
  <si>
    <t>Salpetersäure (2.B.2)</t>
  </si>
  <si>
    <t>Ammoniak_O_Strom</t>
  </si>
  <si>
    <t>Adipinsäure (2.B.3)</t>
  </si>
  <si>
    <t>Methanol_O_Strom</t>
  </si>
  <si>
    <t>*Carbid (2.B.5)</t>
  </si>
  <si>
    <t>Olefins_O_Strom</t>
  </si>
  <si>
    <t>*Soda ash (2.B.7)</t>
  </si>
  <si>
    <t>Summ Bedarf [Chemi]</t>
  </si>
  <si>
    <t>*Petrochemie und Ruß (2.B.8)</t>
  </si>
  <si>
    <t>*Fluorchemikalien (2.B.9)</t>
  </si>
  <si>
    <t>Metalle</t>
  </si>
  <si>
    <t>Stahl (Teil von 2.C.1)</t>
  </si>
  <si>
    <t>*Eisenlegierungen (2.C.2)</t>
  </si>
  <si>
    <t>Aluminium (2.C.3)</t>
  </si>
  <si>
    <t>*Magnesium (2.C.4)</t>
  </si>
  <si>
    <t>*Blei (2.C.5)</t>
  </si>
  <si>
    <t>*Zink (2.C.6)</t>
  </si>
  <si>
    <t>Produktverwendung und Elektronik</t>
  </si>
  <si>
    <t>*Schmierstoffe (2.D.1)</t>
  </si>
  <si>
    <t>*Paraffinwachs (2.D.2)</t>
  </si>
  <si>
    <t>*Lösungsmittel NMVOC (2.D.3)</t>
  </si>
  <si>
    <t>FKWs (2.F)</t>
  </si>
  <si>
    <t>*Elektronik (2.E.1)</t>
  </si>
  <si>
    <t>*Andere Produktverwendung (2.G)</t>
  </si>
  <si>
    <t>*Andere (2.H)</t>
  </si>
  <si>
    <t>SUMME in MtCO2-Äq.</t>
  </si>
  <si>
    <t>Abbildungen</t>
  </si>
  <si>
    <t>O45-H2</t>
  </si>
  <si>
    <t>CO2-Bedarf nach Quelle</t>
  </si>
  <si>
    <t>CO2-Angebot nach Quelle</t>
  </si>
  <si>
    <t>H2-basierte Olefine</t>
  </si>
  <si>
    <t>Abscheidung Zement</t>
  </si>
  <si>
    <t>H2-basiertes Methanol</t>
  </si>
  <si>
    <t>Abscheidung Kalk</t>
  </si>
  <si>
    <t>Folgeprodukte Ammoniak</t>
  </si>
  <si>
    <t>Abscheidung MVA</t>
  </si>
  <si>
    <t>Legierung Stahl</t>
  </si>
  <si>
    <t>Bilanz</t>
  </si>
  <si>
    <t>T45-PtG/PtL</t>
  </si>
  <si>
    <t>T45-RedEff</t>
  </si>
  <si>
    <t>T45-RedGas</t>
  </si>
  <si>
    <t>O45-Strom</t>
  </si>
  <si>
    <t xml:space="preserve">Abscheidung Chem.Rec. </t>
  </si>
  <si>
    <t>Year 2045 is equal to 2050 and 2021 is assumped to be 2020</t>
  </si>
  <si>
    <t xml:space="preserve">using fixed share scaling based on the 2045 regional share </t>
  </si>
  <si>
    <t>For consistency the total are based on LFS even in 2045</t>
  </si>
  <si>
    <t>Lat</t>
  </si>
  <si>
    <t>Lon</t>
  </si>
  <si>
    <t>%</t>
  </si>
  <si>
    <t>sum</t>
  </si>
  <si>
    <t>lattitude</t>
  </si>
  <si>
    <t>Long</t>
  </si>
  <si>
    <t>Scenario</t>
  </si>
  <si>
    <t>Country</t>
  </si>
  <si>
    <t>Energy_carrier</t>
  </si>
  <si>
    <t>Sector</t>
  </si>
  <si>
    <t>Region</t>
  </si>
  <si>
    <t>Name_Region</t>
  </si>
  <si>
    <t>Subsector</t>
  </si>
  <si>
    <t>Application</t>
  </si>
  <si>
    <t>Technologie</t>
  </si>
  <si>
    <t>Unit</t>
  </si>
  <si>
    <t>DE</t>
  </si>
  <si>
    <t>process_emissions</t>
  </si>
  <si>
    <t>DE11C</t>
  </si>
  <si>
    <t>Heidenheim</t>
  </si>
  <si>
    <t>CO2 capture</t>
  </si>
  <si>
    <t>DE128</t>
  </si>
  <si>
    <t>Rhein-Neckar-Kreis</t>
  </si>
  <si>
    <t>DE123</t>
  </si>
  <si>
    <t>Karlsruhe, Landkreis</t>
  </si>
  <si>
    <t>DE145</t>
  </si>
  <si>
    <t>Alb-Donau-Kreis</t>
  </si>
  <si>
    <t>DE143</t>
  </si>
  <si>
    <t>Zollernalbkreis</t>
  </si>
  <si>
    <t>DEF0E</t>
  </si>
  <si>
    <t>Steinburg</t>
  </si>
  <si>
    <t>DE929</t>
  </si>
  <si>
    <t>Region Hannover</t>
  </si>
  <si>
    <t>DEA38</t>
  </si>
  <si>
    <t>Warendorf</t>
  </si>
  <si>
    <t>DEA37</t>
  </si>
  <si>
    <t>Steinfurt</t>
  </si>
  <si>
    <t>DEA47</t>
  </si>
  <si>
    <t>Paderborn</t>
  </si>
  <si>
    <t>DEA5B</t>
  </si>
  <si>
    <t>Soest</t>
  </si>
  <si>
    <t>DE714</t>
  </si>
  <si>
    <t>Wiesbaden, Kreisfreie Stadt</t>
  </si>
  <si>
    <t>DE732</t>
  </si>
  <si>
    <t>Fulda</t>
  </si>
  <si>
    <t>DEB24</t>
  </si>
  <si>
    <t>Vulkaneifel</t>
  </si>
  <si>
    <t>DEB3D</t>
  </si>
  <si>
    <t>Donnersbergkreis</t>
  </si>
  <si>
    <t>DE21K</t>
  </si>
  <si>
    <t>Rosenheim, Landkreis</t>
  </si>
  <si>
    <t>DE239</t>
  </si>
  <si>
    <t>Schwandorf</t>
  </si>
  <si>
    <t>DE25C</t>
  </si>
  <si>
    <t>WeiÃŸenburg-Gunzenhausen</t>
  </si>
  <si>
    <t>DE26A</t>
  </si>
  <si>
    <t>Main-Spessart</t>
  </si>
  <si>
    <t>DE27D</t>
  </si>
  <si>
    <t>Donau-Ries</t>
  </si>
  <si>
    <t>DE409</t>
  </si>
  <si>
    <t>MÃ¤rkisch-Oderland</t>
  </si>
  <si>
    <t>DEE0C</t>
  </si>
  <si>
    <t>Salzlandkreis</t>
  </si>
  <si>
    <t>DEE08</t>
  </si>
  <si>
    <t>Burgenlandkreis</t>
  </si>
  <si>
    <t>DEG06</t>
  </si>
  <si>
    <t>Eichsfeld</t>
  </si>
  <si>
    <t xml:space="preserve">Lime </t>
  </si>
  <si>
    <t>DEG0L</t>
  </si>
  <si>
    <t>Greiz</t>
  </si>
  <si>
    <t>DE918</t>
  </si>
  <si>
    <t>Northeim</t>
  </si>
  <si>
    <t>DE916</t>
  </si>
  <si>
    <t>Goslar</t>
  </si>
  <si>
    <t>DE226</t>
  </si>
  <si>
    <t>Kelheim</t>
  </si>
  <si>
    <t>DEA1A</t>
  </si>
  <si>
    <t>Wuppertal, Kreisfreie Stadt</t>
  </si>
  <si>
    <t>DEE09</t>
  </si>
  <si>
    <t>Harz</t>
  </si>
  <si>
    <t>DE139</t>
  </si>
  <si>
    <t>LÃ¶rrach</t>
  </si>
  <si>
    <t>DEA59</t>
  </si>
  <si>
    <t>Olpe</t>
  </si>
  <si>
    <t>DE723</t>
  </si>
  <si>
    <t>Limburg-Weilburg</t>
  </si>
  <si>
    <t>DEB1A</t>
  </si>
  <si>
    <t>Rhein-Lahn-Kreis</t>
  </si>
  <si>
    <t>DE232</t>
  </si>
  <si>
    <t>Regensburg, Kreisfreie Stadt</t>
  </si>
  <si>
    <t>DEA42</t>
  </si>
  <si>
    <t>GÃ¼tersloh</t>
  </si>
  <si>
    <t>DEA1C</t>
  </si>
  <si>
    <t>Mettmann</t>
  </si>
  <si>
    <t>DEA57</t>
  </si>
  <si>
    <t>Hochsauerlandkreis</t>
  </si>
  <si>
    <t>DEA58</t>
  </si>
  <si>
    <t>MÃ¤rkischer Kreis</t>
  </si>
  <si>
    <t>DE923</t>
  </si>
  <si>
    <t>Hameln-Pyrmont</t>
  </si>
  <si>
    <t>DE24B</t>
  </si>
  <si>
    <t>Kulmbach</t>
  </si>
  <si>
    <t>DE925</t>
  </si>
  <si>
    <t>Hildesheim</t>
  </si>
  <si>
    <t>DE91B</t>
  </si>
  <si>
    <t>WolfenbÃ¼ttel</t>
  </si>
  <si>
    <t>DEE07</t>
  </si>
  <si>
    <t>BÃ¶rde</t>
  </si>
  <si>
    <t>DE93A</t>
  </si>
  <si>
    <t>Uelzen</t>
  </si>
  <si>
    <t>DE91A</t>
  </si>
  <si>
    <t>Peine</t>
  </si>
  <si>
    <t>DE737</t>
  </si>
  <si>
    <t>Werra-MeiÃŸner-Kreis</t>
  </si>
  <si>
    <t>DE236</t>
  </si>
  <si>
    <t>Neumarkt i. d. OPf.</t>
  </si>
  <si>
    <t>DEA26</t>
  </si>
  <si>
    <t>DÃ¼ren</t>
  </si>
  <si>
    <t>DEA28</t>
  </si>
  <si>
    <t>Euskirchen</t>
  </si>
  <si>
    <t>DEA45</t>
  </si>
  <si>
    <t>Lippe</t>
  </si>
  <si>
    <t>DEA1B</t>
  </si>
  <si>
    <t>Kleve</t>
  </si>
  <si>
    <t>DE40C</t>
  </si>
  <si>
    <t>Oder-Spree</t>
  </si>
  <si>
    <t>DE80N</t>
  </si>
  <si>
    <t>Vorpommern-Greifswald</t>
  </si>
  <si>
    <t>DEA44</t>
  </si>
  <si>
    <t>HÃ¶xter</t>
  </si>
  <si>
    <t>DE735</t>
  </si>
  <si>
    <t>Schwalm-Eder-Kreis</t>
  </si>
  <si>
    <t>DE118</t>
  </si>
  <si>
    <t>Heilbronn, Landkreis</t>
  </si>
  <si>
    <t>DE26C</t>
  </si>
  <si>
    <t>WÃ¼rzburg, Landkreis</t>
  </si>
  <si>
    <t>DE407</t>
  </si>
  <si>
    <t>Elbe-Elster</t>
  </si>
  <si>
    <t>DEB3C</t>
  </si>
  <si>
    <t>Bad DÃ¼rkheim</t>
  </si>
  <si>
    <t>DE224</t>
  </si>
  <si>
    <t>Deggendorf</t>
  </si>
  <si>
    <t>DE132</t>
  </si>
  <si>
    <t>Breisgau-Hochschwarzwald</t>
  </si>
  <si>
    <t>DE273</t>
  </si>
  <si>
    <t>Kempten (Allgäu), Kreisfreie Stadt</t>
  </si>
  <si>
    <t>DE213</t>
  </si>
  <si>
    <t>Rosenheim, Kreisfreie Stadt</t>
  </si>
  <si>
    <t>DE214</t>
  </si>
  <si>
    <t>Altötting</t>
  </si>
  <si>
    <t>DE212</t>
  </si>
  <si>
    <t>München, Kreisfreie Stadt</t>
  </si>
  <si>
    <t>DE217</t>
  </si>
  <si>
    <t>Dachau</t>
  </si>
  <si>
    <t>DE275</t>
  </si>
  <si>
    <t>Aichach-Friedberg</t>
  </si>
  <si>
    <t>DE279</t>
  </si>
  <si>
    <t>Neu-Ulm</t>
  </si>
  <si>
    <t>DE144</t>
  </si>
  <si>
    <t>Ulm, Stadtkreis</t>
  </si>
  <si>
    <t>DE114</t>
  </si>
  <si>
    <t>Göppingen</t>
  </si>
  <si>
    <t>DE112</t>
  </si>
  <si>
    <t>Böblingen</t>
  </si>
  <si>
    <t>DE111</t>
  </si>
  <si>
    <t>Stuttgart, Stadtkreis</t>
  </si>
  <si>
    <t>DE219</t>
  </si>
  <si>
    <t>Eichstätt</t>
  </si>
  <si>
    <t>DE254</t>
  </si>
  <si>
    <t>Nürnberg, Kreisfreie Stadt</t>
  </si>
  <si>
    <t>DEB34</t>
  </si>
  <si>
    <t>Ludwigshafen am Rhein, Kreisfreie Stadt</t>
  </si>
  <si>
    <t>DEB37</t>
  </si>
  <si>
    <t>Pirmasens, Kreisfreie Stadt</t>
  </si>
  <si>
    <t>Dec-03</t>
  </si>
  <si>
    <t>Neunkirchen</t>
  </si>
  <si>
    <t>Dec-01</t>
  </si>
  <si>
    <t>Regionalverband Saarbrücken</t>
  </si>
  <si>
    <t>DE126</t>
  </si>
  <si>
    <t>Mannheim, Stadtkreis</t>
  </si>
  <si>
    <t>DE241</t>
  </si>
  <si>
    <t>Bamberg, Kreisfreie Stadt</t>
  </si>
  <si>
    <t>DE243</t>
  </si>
  <si>
    <t>Coburg, Kreisfreie Stadt</t>
  </si>
  <si>
    <t>DE262</t>
  </si>
  <si>
    <t>Schweinfurt, Kreisfreie Stadt</t>
  </si>
  <si>
    <t>DE263</t>
  </si>
  <si>
    <t>Würzburg, Kreisfreie Stadt</t>
  </si>
  <si>
    <t>DE71C</t>
  </si>
  <si>
    <t>Offenbach, Landkreis</t>
  </si>
  <si>
    <t>DE712</t>
  </si>
  <si>
    <t>Frankfurt am Main, Kreisfreie Stadt</t>
  </si>
  <si>
    <t>DE711</t>
  </si>
  <si>
    <t>Darmstadt, Kreisfreie Stadt</t>
  </si>
  <si>
    <t>DEG0I</t>
  </si>
  <si>
    <t>Saalfeld-Rudolstadt</t>
  </si>
  <si>
    <t>DEG04</t>
  </si>
  <si>
    <t>Suhl, Kreisfreie Stadt</t>
  </si>
  <si>
    <t>DE721</t>
  </si>
  <si>
    <t>Gießen, Landkreis</t>
  </si>
  <si>
    <t>DEB17</t>
  </si>
  <si>
    <t>Mayen-Koblenz</t>
  </si>
  <si>
    <t>DEG01</t>
  </si>
  <si>
    <t>Erfurt, Kreisfreie Stadt</t>
  </si>
  <si>
    <t>DE733</t>
  </si>
  <si>
    <t>Hersfeld-Rotenburg</t>
  </si>
  <si>
    <t>DEA22</t>
  </si>
  <si>
    <t>Bonn, Kreisfreie Stadt</t>
  </si>
  <si>
    <t>DEA27</t>
  </si>
  <si>
    <t>Rhein-Erft-Kreis</t>
  </si>
  <si>
    <t>DEA2D</t>
  </si>
  <si>
    <t>Städteregion Aachen</t>
  </si>
  <si>
    <t>DEA23</t>
  </si>
  <si>
    <t>Köln, Kreisfreie Stadt</t>
  </si>
  <si>
    <t>DEA24</t>
  </si>
  <si>
    <t>Leverkusen, Kreisfreie Stadt</t>
  </si>
  <si>
    <t>DEA19</t>
  </si>
  <si>
    <t>Solingen, Kreisfreie Stadt</t>
  </si>
  <si>
    <t>DEA11</t>
  </si>
  <si>
    <t>Düsseldorf, Kreisfreie Stadt</t>
  </si>
  <si>
    <t>Märkischer Kreis</t>
  </si>
  <si>
    <t>DEA53</t>
  </si>
  <si>
    <t>Hagen, Kreisfreie Stadt</t>
  </si>
  <si>
    <t>DEA14</t>
  </si>
  <si>
    <t>Krefeld, Kreisfreie Stadt</t>
  </si>
  <si>
    <t>DEA54</t>
  </si>
  <si>
    <t>Hamm, Kreisfreie Stadt</t>
  </si>
  <si>
    <t>DEA36</t>
  </si>
  <si>
    <t>Recklinghausen</t>
  </si>
  <si>
    <t>DEA13</t>
  </si>
  <si>
    <t>Essen, Kreisfreie Stadt</t>
  </si>
  <si>
    <t>DEA17</t>
  </si>
  <si>
    <t>Oberhausen, Kreisfreie Stadt</t>
  </si>
  <si>
    <t>DEA1F</t>
  </si>
  <si>
    <t>Wesel</t>
  </si>
  <si>
    <t>DEA41</t>
  </si>
  <si>
    <t>Bielefeld, Kreisfreie Stadt</t>
  </si>
  <si>
    <t>DEA46</t>
  </si>
  <si>
    <t>Minden-Lübbecke</t>
  </si>
  <si>
    <t>DE917</t>
  </si>
  <si>
    <t>Helmstedt</t>
  </si>
  <si>
    <t>DE731</t>
  </si>
  <si>
    <t>Kassel, Kreisfreie Stadt</t>
  </si>
  <si>
    <t>Werra-Meißner-Kreis</t>
  </si>
  <si>
    <t>DEE03</t>
  </si>
  <si>
    <t>Magdeburg, Kreisfreie Stadt</t>
  </si>
  <si>
    <t>DEE0A</t>
  </si>
  <si>
    <t>Mansfeld-Südharz</t>
  </si>
  <si>
    <t>DEE05</t>
  </si>
  <si>
    <t>Anhalt-Bitterfeld</t>
  </si>
  <si>
    <t>DEE0B</t>
  </si>
  <si>
    <t>Saalekreis</t>
  </si>
  <si>
    <t>DE408</t>
  </si>
  <si>
    <t>Havelland</t>
  </si>
  <si>
    <t>DE300</t>
  </si>
  <si>
    <t>Berlin</t>
  </si>
  <si>
    <t>Märkisch-Oderland</t>
  </si>
  <si>
    <t>DE40B</t>
  </si>
  <si>
    <t>Oberspreewald-Lausitz</t>
  </si>
  <si>
    <t>DE40G</t>
  </si>
  <si>
    <t>Spree-Neiße</t>
  </si>
  <si>
    <t>DED2C</t>
  </si>
  <si>
    <t>Bautzen</t>
  </si>
  <si>
    <t>DE40I</t>
  </si>
  <si>
    <t>Uckermark</t>
  </si>
  <si>
    <t>DE80J</t>
  </si>
  <si>
    <t>Mecklenburgische Seenplatte</t>
  </si>
  <si>
    <t>DE803</t>
  </si>
  <si>
    <t>Rostock, Kreisfreie Stadt</t>
  </si>
  <si>
    <t>DE80O</t>
  </si>
  <si>
    <t>Ludwigslust-Parchim</t>
  </si>
  <si>
    <t>DEF08</t>
  </si>
  <si>
    <t>Ostholstein</t>
  </si>
  <si>
    <t>DEF02</t>
  </si>
  <si>
    <t>Kiel, Kreisfreie Stadt</t>
  </si>
  <si>
    <t>DEF04</t>
  </si>
  <si>
    <t>Neumünster, Kreisfreie Stadt</t>
  </si>
  <si>
    <t>DEF0F</t>
  </si>
  <si>
    <t>Stormarn</t>
  </si>
  <si>
    <t>DE600</t>
  </si>
  <si>
    <t>Hamburg</t>
  </si>
  <si>
    <t>DEF09</t>
  </si>
  <si>
    <t>Pinneberg</t>
  </si>
  <si>
    <t>DE502</t>
  </si>
  <si>
    <t>Bremerhaven, Kreisfreie Stadt</t>
  </si>
  <si>
    <t>DE94G</t>
  </si>
  <si>
    <t>Wesermarsch</t>
  </si>
  <si>
    <t>DE501</t>
  </si>
  <si>
    <t>Bremen, Kreisfreie Stadt</t>
  </si>
  <si>
    <t>DE94C</t>
  </si>
  <si>
    <t>Leer</t>
  </si>
  <si>
    <t>DE94B</t>
  </si>
  <si>
    <t>Grafschaft Bentheim</t>
  </si>
  <si>
    <t>DE949</t>
  </si>
  <si>
    <t>Emsland</t>
  </si>
  <si>
    <t>Iron and steel</t>
  </si>
  <si>
    <t>DE912</t>
  </si>
  <si>
    <t>Salzgitter, Kreisfreie Stadt</t>
  </si>
  <si>
    <t>DEA12</t>
  </si>
  <si>
    <t>Duisburg, Kreisfreie Stadt</t>
  </si>
  <si>
    <t>DEC04</t>
  </si>
  <si>
    <t>Saarlouis</t>
  </si>
  <si>
    <t>DE122</t>
  </si>
  <si>
    <t>Karlsruhe, Kreisfreie Stadt</t>
  </si>
  <si>
    <t>Refinery</t>
  </si>
  <si>
    <t>Altötting, Landkreis</t>
  </si>
  <si>
    <t>Chemical park</t>
  </si>
  <si>
    <t>Eichstätt, Landkreis</t>
  </si>
  <si>
    <t>Steam cracker</t>
  </si>
  <si>
    <t>DE21J</t>
  </si>
  <si>
    <t>Pfaffenhofen a.d. Ilm</t>
  </si>
  <si>
    <t>DE939</t>
  </si>
  <si>
    <t>Stade, Landkreis</t>
  </si>
  <si>
    <t>DEA1D</t>
  </si>
  <si>
    <t>Rhein-Kreis Neuss</t>
  </si>
  <si>
    <t>DEA32</t>
  </si>
  <si>
    <t>Gelsenkirchen, Kreisfreie Stadt</t>
  </si>
  <si>
    <t>Recklinghausen, Landkreis</t>
  </si>
  <si>
    <t>DED52</t>
  </si>
  <si>
    <t>Leipzig, Landkreis</t>
  </si>
  <si>
    <t>DEF05</t>
  </si>
  <si>
    <t>Dithmarschen</t>
  </si>
  <si>
    <t>(Leer)</t>
  </si>
  <si>
    <t>Gesamtergebnis</t>
  </si>
  <si>
    <t>Zeilenbeschriftungen</t>
  </si>
  <si>
    <t>Summe von 2025</t>
  </si>
  <si>
    <t>Summe von 2030</t>
  </si>
  <si>
    <t>Summe von 2035</t>
  </si>
  <si>
    <t>Summe von 2040</t>
  </si>
  <si>
    <t>Summe von 2045</t>
  </si>
  <si>
    <t>Summe von 2050</t>
  </si>
  <si>
    <t>(Alle)</t>
  </si>
  <si>
    <t xml:space="preserve">Scenario 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</si>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</sst>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.000_-;\-* #,##0.0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.5"/>
      <color rgb="FF000000"/>
      <name val="Segoe UI"/>
      <family val="2"/>
    </font>
    <font>
      <sz val="10"/>
      <color rgb="FF000000"/>
      <name val="Segoe UI"/>
      <family val="2"/>
    </font>
    <font>
      <b/>
      <sz val="10.5"/>
      <color rgb="FF000000"/>
      <name val="Segoe UI"/>
      <family val="2"/>
    </font>
    <font>
      <b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C9D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27">
    <xf numFmtId="0" fontId="0" fillId="0" borderId="0" xfId="0"/>
    <xf numFmtId="3" fontId="0" fillId="0" borderId="0" xfId="0" applyNumberFormat="1"/>
    <xf numFmtId="0" fontId="3" fillId="2" borderId="0" xfId="0" applyFont="1" applyFill="1" applyAlignment="1">
      <alignment horizontal="justify" vertical="center"/>
    </xf>
    <xf numFmtId="43" fontId="0" fillId="0" borderId="0" xfId="1" applyFont="1"/>
    <xf numFmtId="0" fontId="4" fillId="3" borderId="2" xfId="0" applyFont="1" applyFill="1" applyBorder="1" applyAlignment="1">
      <alignment horizontal="justify" vertical="center"/>
    </xf>
    <xf numFmtId="0" fontId="3" fillId="2" borderId="4" xfId="0" applyFont="1" applyFill="1" applyBorder="1" applyAlignment="1">
      <alignment horizontal="center" vertical="center" textRotation="90" wrapText="1"/>
    </xf>
    <xf numFmtId="0" fontId="4" fillId="4" borderId="0" xfId="0" applyFont="1" applyFill="1" applyAlignment="1">
      <alignment horizontal="justify" vertical="center"/>
    </xf>
    <xf numFmtId="0" fontId="4" fillId="3" borderId="0" xfId="0" applyFont="1" applyFill="1" applyAlignment="1">
      <alignment horizontal="justify" vertical="center"/>
    </xf>
    <xf numFmtId="0" fontId="4" fillId="3" borderId="7" xfId="0" applyFont="1" applyFill="1" applyBorder="1" applyAlignment="1">
      <alignment horizontal="justify" vertical="center"/>
    </xf>
    <xf numFmtId="0" fontId="4" fillId="4" borderId="7" xfId="0" applyFont="1" applyFill="1" applyBorder="1" applyAlignment="1">
      <alignment horizontal="justify" vertical="center"/>
    </xf>
    <xf numFmtId="0" fontId="4" fillId="4" borderId="2" xfId="0" applyFont="1" applyFill="1" applyBorder="1" applyAlignment="1">
      <alignment horizontal="justify" vertical="center"/>
    </xf>
    <xf numFmtId="164" fontId="0" fillId="0" borderId="0" xfId="1" applyNumberFormat="1" applyFont="1"/>
    <xf numFmtId="165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7" xfId="0" applyBorder="1"/>
    <xf numFmtId="43" fontId="0" fillId="0" borderId="7" xfId="1" applyFont="1" applyBorder="1"/>
    <xf numFmtId="0" fontId="0" fillId="0" borderId="9" xfId="0" applyBorder="1"/>
    <xf numFmtId="0" fontId="0" fillId="0" borderId="10" xfId="0" applyBorder="1"/>
    <xf numFmtId="43" fontId="0" fillId="0" borderId="5" xfId="1" applyFont="1" applyBorder="1"/>
    <xf numFmtId="43" fontId="0" fillId="0" borderId="8" xfId="1" applyFont="1" applyBorder="1"/>
    <xf numFmtId="0" fontId="0" fillId="0" borderId="5" xfId="0" applyBorder="1"/>
    <xf numFmtId="0" fontId="0" fillId="0" borderId="8" xfId="0" applyBorder="1"/>
    <xf numFmtId="0" fontId="3" fillId="2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justify" vertical="center"/>
    </xf>
    <xf numFmtId="0" fontId="4" fillId="4" borderId="9" xfId="0" applyFont="1" applyFill="1" applyBorder="1" applyAlignment="1">
      <alignment horizontal="justify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9" fontId="4" fillId="3" borderId="3" xfId="2" applyFont="1" applyFill="1" applyBorder="1" applyAlignment="1">
      <alignment horizontal="center" vertical="center"/>
    </xf>
    <xf numFmtId="9" fontId="4" fillId="4" borderId="5" xfId="2" applyFont="1" applyFill="1" applyBorder="1" applyAlignment="1">
      <alignment horizontal="center" vertical="center"/>
    </xf>
    <xf numFmtId="9" fontId="4" fillId="3" borderId="5" xfId="2" applyFont="1" applyFill="1" applyBorder="1" applyAlignment="1">
      <alignment horizontal="center" vertical="center"/>
    </xf>
    <xf numFmtId="9" fontId="4" fillId="4" borderId="8" xfId="2" applyFont="1" applyFill="1" applyBorder="1" applyAlignment="1">
      <alignment horizontal="center" vertical="center"/>
    </xf>
    <xf numFmtId="9" fontId="4" fillId="4" borderId="11" xfId="2" applyFont="1" applyFill="1" applyBorder="1" applyAlignment="1">
      <alignment horizontal="center" vertical="center"/>
    </xf>
    <xf numFmtId="9" fontId="4" fillId="3" borderId="8" xfId="2" applyFont="1" applyFill="1" applyBorder="1" applyAlignment="1">
      <alignment horizontal="center" vertical="center"/>
    </xf>
    <xf numFmtId="9" fontId="4" fillId="3" borderId="11" xfId="2" applyFont="1" applyFill="1" applyBorder="1" applyAlignment="1">
      <alignment horizontal="center" vertical="center"/>
    </xf>
    <xf numFmtId="9" fontId="4" fillId="4" borderId="3" xfId="2" applyFont="1" applyFill="1" applyBorder="1" applyAlignment="1">
      <alignment horizontal="center" vertical="center"/>
    </xf>
    <xf numFmtId="9" fontId="0" fillId="0" borderId="11" xfId="2" applyFont="1" applyBorder="1" applyAlignment="1">
      <alignment horizontal="center"/>
    </xf>
    <xf numFmtId="9" fontId="6" fillId="3" borderId="11" xfId="2" applyFont="1" applyFill="1" applyBorder="1" applyAlignment="1">
      <alignment horizontal="center" vertical="center"/>
    </xf>
    <xf numFmtId="9" fontId="0" fillId="0" borderId="0" xfId="2" applyFont="1"/>
    <xf numFmtId="0" fontId="0" fillId="5" borderId="0" xfId="0" applyFill="1"/>
    <xf numFmtId="0" fontId="2" fillId="6" borderId="0" xfId="0" applyFont="1" applyFill="1"/>
    <xf numFmtId="164" fontId="2" fillId="6" borderId="0" xfId="0" applyNumberFormat="1" applyFont="1" applyFill="1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1" applyNumberFormat="1" applyFont="1"/>
    <xf numFmtId="2" fontId="2" fillId="6" borderId="0" xfId="0" applyNumberFormat="1" applyFont="1" applyFill="1"/>
    <xf numFmtId="166" fontId="0" fillId="0" borderId="0" xfId="1" applyNumberFormat="1" applyFont="1"/>
    <xf numFmtId="9" fontId="0" fillId="0" borderId="7" xfId="2" applyFont="1" applyBorder="1"/>
    <xf numFmtId="166" fontId="0" fillId="0" borderId="7" xfId="1" applyNumberFormat="1" applyFont="1" applyBorder="1"/>
    <xf numFmtId="164" fontId="0" fillId="0" borderId="10" xfId="1" applyNumberFormat="1" applyFont="1" applyBorder="1"/>
    <xf numFmtId="9" fontId="0" fillId="0" borderId="10" xfId="2" applyFont="1" applyBorder="1"/>
    <xf numFmtId="43" fontId="0" fillId="0" borderId="10" xfId="1" applyFont="1" applyBorder="1"/>
    <xf numFmtId="43" fontId="0" fillId="0" borderId="11" xfId="1" applyFont="1" applyBorder="1"/>
    <xf numFmtId="0" fontId="0" fillId="7" borderId="9" xfId="0" applyFill="1" applyBorder="1"/>
    <xf numFmtId="0" fontId="0" fillId="7" borderId="10" xfId="0" applyFill="1" applyBorder="1"/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3" xfId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3" fontId="0" fillId="0" borderId="5" xfId="1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8" xfId="1" applyFon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43" fontId="0" fillId="0" borderId="0" xfId="1" applyFont="1" applyAlignment="1">
      <alignment horizontal="center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2" xfId="0" applyFont="1" applyBorder="1" applyAlignment="1">
      <alignment horizontal="left"/>
    </xf>
    <xf numFmtId="0" fontId="2" fillId="0" borderId="12" xfId="0" applyFont="1" applyBorder="1"/>
    <xf numFmtId="49" fontId="0" fillId="0" borderId="0" xfId="0" applyNumberFormat="1"/>
    <xf numFmtId="0" fontId="3" fillId="2" borderId="9" xfId="0" applyFont="1" applyFill="1" applyBorder="1" applyAlignment="1">
      <alignment horizontal="center" vertical="center"/>
    </xf>
    <xf numFmtId="0" fontId="0" fillId="0" borderId="10" xfId="0" applyBorder="1"/>
    <xf numFmtId="0" fontId="3" fillId="2" borderId="9" xfId="0" applyFont="1" applyFill="1" applyBorder="1" applyAlignment="1">
      <alignment horizontal="center" vertical="center" textRotation="90" wrapText="1"/>
    </xf>
    <xf numFmtId="0" fontId="0" fillId="0" borderId="4" xfId="0" applyBorder="1"/>
    <xf numFmtId="0" fontId="0" fillId="0" borderId="6" xfId="0" applyBorder="1"/>
    <xf numFmtId="2" fontId="0" fillId="5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NumberFormat="1"/>
    <xf numFmtId="17" fontId="0" fillId="0" borderId="0" xfId="0" applyNumberFormat="1"/>
    <xf numFmtId="0" fontId="7" fillId="0" borderId="14" xfId="0" applyFont="1" applyBorder="1" applyAlignment="1">
      <alignment horizontal="center" vertical="top"/>
    </xf>
    <xf numFmtId="43" fontId="1" fillId="0" borderId="0" xfId="1"/>
    <xf numFmtId="43" fontId="0" fillId="0" borderId="0" xfId="0" applyNumberFormat="1" applyFont="1" applyFill="1" applyBorder="1" applyAlignment="1" applyProtection="1"/>
    <xf numFmtId="2" fontId="1" fillId="0" borderId="0" xfId="1" applyNumberFormat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strRef>
          <c:f>Abbildungen!$A$31</c:f>
          <c:strCache>
            <c:ptCount val="1"/>
            <c:pt idx="0">
              <c:v>O45-Strom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1" i="0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Abbildungen!$A$33</c:f>
              <c:strCache>
                <c:ptCount val="1"/>
                <c:pt idx="0">
                  <c:v>H2-basierte Olefine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01-4EAB-AF6B-E008F9E9924F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01-4EAB-AF6B-E008F9E9924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Abbildungen!$B$33:$G$33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1.5711666666666668</c:v>
                </c:pt>
                <c:pt idx="3">
                  <c:v>7.855833333333333</c:v>
                </c:pt>
                <c:pt idx="4">
                  <c:v>13.67697441</c:v>
                </c:pt>
                <c:pt idx="5">
                  <c:v>13.338450839999998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01-4EAB-AF6B-E008F9E9924F}"/>
            </c:ext>
          </c:extLst>
        </c:ser>
        <c:ser>
          <c:idx val="1"/>
          <c:order val="1"/>
          <c:tx>
            <c:strRef>
              <c:f>Abbildungen!$A$34</c:f>
              <c:strCache>
                <c:ptCount val="1"/>
                <c:pt idx="0">
                  <c:v>H2-basiertes Methanol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Abbildungen!$B$34:$G$34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6.8750000000000006E-2</c:v>
                </c:pt>
                <c:pt idx="3">
                  <c:v>0.6875</c:v>
                </c:pt>
                <c:pt idx="4">
                  <c:v>1.4089033750000002</c:v>
                </c:pt>
                <c:pt idx="5">
                  <c:v>1.3740319999999999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01-4EAB-AF6B-E008F9E9924F}"/>
            </c:ext>
          </c:extLst>
        </c:ser>
        <c:ser>
          <c:idx val="2"/>
          <c:order val="2"/>
          <c:tx>
            <c:strRef>
              <c:f>Abbildungen!$A$35</c:f>
              <c:strCache>
                <c:ptCount val="1"/>
                <c:pt idx="0">
                  <c:v>Folgeprodukte Ammoniak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01-4EAB-AF6B-E008F9E9924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Abbildungen!$B$35:$G$35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7.0000000000000007E-2</c:v>
                </c:pt>
                <c:pt idx="2">
                  <c:v>0.24499999999999997</c:v>
                </c:pt>
                <c:pt idx="3">
                  <c:v>0.7</c:v>
                </c:pt>
                <c:pt idx="4">
                  <c:v>3.8174415999999995</c:v>
                </c:pt>
                <c:pt idx="5">
                  <c:v>3.7229541999999998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01-4EAB-AF6B-E008F9E9924F}"/>
            </c:ext>
          </c:extLst>
        </c:ser>
        <c:ser>
          <c:idx val="3"/>
          <c:order val="3"/>
          <c:tx>
            <c:strRef>
              <c:f>Abbildungen!$A$36</c:f>
              <c:strCache>
                <c:ptCount val="1"/>
                <c:pt idx="0">
                  <c:v>Legierung Stahl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Abbildungen!$B$36:$G$36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0.19198666666666664</c:v>
                </c:pt>
                <c:pt idx="2">
                  <c:v>0.46585000000000004</c:v>
                </c:pt>
                <c:pt idx="3">
                  <c:v>0.56466666666666665</c:v>
                </c:pt>
                <c:pt idx="4">
                  <c:v>0.56466666666666665</c:v>
                </c:pt>
                <c:pt idx="5">
                  <c:v>0.55069046083333328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01-4EAB-AF6B-E008F9E9924F}"/>
            </c:ext>
          </c:extLst>
        </c:ser>
        <c:ser>
          <c:idx val="4"/>
          <c:order val="4"/>
          <c:tx>
            <c:strRef>
              <c:f>Abbildungen!$I$33</c:f>
              <c:strCache>
                <c:ptCount val="1"/>
                <c:pt idx="0">
                  <c:v>Abscheidung Zement</c:v>
                </c:pt>
              </c:strCache>
            </c:strRef>
          </c:tx>
          <c:spPr>
            <a:pattFill prst="dkDnDiag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01-4EAB-AF6B-E008F9E9924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Abbildungen!$J$33:$O$33</c:f>
              <c:numCache>
                <c:formatCode>0.00</c:formatCode>
                <c:ptCount val="6"/>
                <c:pt idx="0">
                  <c:v>-0.30460092300000002</c:v>
                </c:pt>
                <c:pt idx="1">
                  <c:v>-1.8406005439999999</c:v>
                </c:pt>
                <c:pt idx="2">
                  <c:v>-4.9292044239999999</c:v>
                </c:pt>
                <c:pt idx="3">
                  <c:v>-7.0926949830000003</c:v>
                </c:pt>
                <c:pt idx="4">
                  <c:v>-9.4902347020000004</c:v>
                </c:pt>
                <c:pt idx="5">
                  <c:v>-8.9846507939999984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01-4EAB-AF6B-E008F9E9924F}"/>
            </c:ext>
          </c:extLst>
        </c:ser>
        <c:ser>
          <c:idx val="5"/>
          <c:order val="5"/>
          <c:tx>
            <c:strRef>
              <c:f>Abbildungen!$I$34</c:f>
              <c:strCache>
                <c:ptCount val="1"/>
                <c:pt idx="0">
                  <c:v>Abscheidung Kalk</c:v>
                </c:pt>
              </c:strCache>
            </c:strRef>
          </c:tx>
          <c:spPr>
            <a:pattFill prst="ltDnDiag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val>
            <c:numRef>
              <c:f>Abbildungen!$J$34:$O$34</c:f>
              <c:numCache>
                <c:formatCode>0.00</c:formatCode>
                <c:ptCount val="6"/>
                <c:pt idx="0">
                  <c:v>0</c:v>
                </c:pt>
                <c:pt idx="1">
                  <c:v>-0.21541668999999999</c:v>
                </c:pt>
                <c:pt idx="2">
                  <c:v>-1.1740362579999999</c:v>
                </c:pt>
                <c:pt idx="3">
                  <c:v>-1.9603178489999999</c:v>
                </c:pt>
                <c:pt idx="4">
                  <c:v>-3.594883898</c:v>
                </c:pt>
                <c:pt idx="5">
                  <c:v>-3.4972756230000002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01-4EAB-AF6B-E008F9E9924F}"/>
            </c:ext>
          </c:extLst>
        </c:ser>
        <c:ser>
          <c:idx val="6"/>
          <c:order val="6"/>
          <c:tx>
            <c:strRef>
              <c:f>Abbildungen!$I$35</c:f>
              <c:strCache>
                <c:ptCount val="1"/>
                <c:pt idx="0">
                  <c:v>Abscheidung MVA</c:v>
                </c:pt>
              </c:strCache>
            </c:strRef>
          </c:tx>
          <c:spPr>
            <a:pattFill prst="dk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Abbildungen!$J$35:$O$35</c:f>
              <c:numCache>
                <c:formatCode>0.00</c:formatCode>
                <c:ptCount val="6"/>
                <c:pt idx="0">
                  <c:v>-0.59349467592592609</c:v>
                </c:pt>
                <c:pt idx="1">
                  <c:v>-3.457241666666667</c:v>
                </c:pt>
                <c:pt idx="2">
                  <c:v>-8.470592407407409</c:v>
                </c:pt>
                <c:pt idx="3">
                  <c:v>-12.548044768518523</c:v>
                </c:pt>
                <c:pt idx="4">
                  <c:v>-17.432887500000003</c:v>
                </c:pt>
                <c:pt idx="5">
                  <c:v>-17.432887500000003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01-4EAB-AF6B-E008F9E99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584384"/>
        <c:axId val="539588320"/>
      </c:barChart>
      <c:lineChart>
        <c:grouping val="standard"/>
        <c:varyColors val="0"/>
        <c:ser>
          <c:idx val="7"/>
          <c:order val="7"/>
          <c:tx>
            <c:strRef>
              <c:f>Abbildungen!$I$37</c:f>
              <c:strCache>
                <c:ptCount val="1"/>
                <c:pt idx="0">
                  <c:v>Bilanz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Abbildungen!$J$37:$O$37</c:f>
              <c:numCache>
                <c:formatCode>_-* #,##0_-;\-* #,##0_-;_-* "-"??_-;_-@_-</c:formatCode>
                <c:ptCount val="6"/>
                <c:pt idx="0">
                  <c:v>-0.89809559892592605</c:v>
                </c:pt>
                <c:pt idx="1">
                  <c:v>-5.251272234</c:v>
                </c:pt>
                <c:pt idx="2">
                  <c:v>-12.223066422740741</c:v>
                </c:pt>
                <c:pt idx="3">
                  <c:v>-11.793057600518523</c:v>
                </c:pt>
                <c:pt idx="4">
                  <c:v>-11.050020048333337</c:v>
                </c:pt>
                <c:pt idx="5">
                  <c:v>-10.928686416166673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F01-4EAB-AF6B-E008F9E99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4384"/>
        <c:axId val="539588320"/>
      </c:lineChart>
      <c:catAx>
        <c:axId val="5395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8320"/>
        <c:crosses val="autoZero"/>
        <c:auto val="1"/>
        <c:lblAlgn val="ctr"/>
        <c:lblOffset val="0"/>
        <c:noMultiLvlLbl val="0"/>
      </c:catAx>
      <c:valAx>
        <c:axId val="539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CO2-Bilanz in Mt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43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strRef>
          <c:f>Abbildungen!$A$24</c:f>
          <c:strCache>
            <c:ptCount val="1"/>
            <c:pt idx="0">
              <c:v>T45-RedGas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1" i="0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Abbildungen!$A$26</c:f>
              <c:strCache>
                <c:ptCount val="1"/>
                <c:pt idx="0">
                  <c:v>H2-basierte Olefine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C8-46C1-8F98-5E1E92ADC767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C8-46C1-8F98-5E1E92ADC76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Abbildungen!$B$26:$G$26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0.39279166666666671</c:v>
                </c:pt>
                <c:pt idx="3">
                  <c:v>6.2846666666666673</c:v>
                </c:pt>
                <c:pt idx="4">
                  <c:v>21.996333333333332</c:v>
                </c:pt>
                <c:pt idx="5">
                  <c:v>21.996333333333332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C8-46C1-8F98-5E1E92ADC767}"/>
            </c:ext>
          </c:extLst>
        </c:ser>
        <c:ser>
          <c:idx val="1"/>
          <c:order val="1"/>
          <c:tx>
            <c:strRef>
              <c:f>Abbildungen!$A$27</c:f>
              <c:strCache>
                <c:ptCount val="1"/>
                <c:pt idx="0">
                  <c:v>H2-basiertes Methanol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Abbildungen!$B$27:$G$27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6.7031250000000001E-2</c:v>
                </c:pt>
                <c:pt idx="2">
                  <c:v>0.66171875000000002</c:v>
                </c:pt>
                <c:pt idx="3">
                  <c:v>1.3062499999999999</c:v>
                </c:pt>
                <c:pt idx="4">
                  <c:v>1.4368749999999999</c:v>
                </c:pt>
                <c:pt idx="5">
                  <c:v>1.4368749999999999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C8-46C1-8F98-5E1E92ADC767}"/>
            </c:ext>
          </c:extLst>
        </c:ser>
        <c:ser>
          <c:idx val="2"/>
          <c:order val="2"/>
          <c:tx>
            <c:strRef>
              <c:f>Abbildungen!$A$28</c:f>
              <c:strCache>
                <c:ptCount val="1"/>
                <c:pt idx="0">
                  <c:v>Folgeprodukte Ammoniak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C8-46C1-8F98-5E1E92ADC76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Abbildungen!$B$28:$G$28</c:f>
              <c:numCache>
                <c:formatCode>_-* #,##0_-;\-* #,##0_-;_-* "-"??_-;_-@_-</c:formatCode>
                <c:ptCount val="6"/>
                <c:pt idx="0">
                  <c:v>0.14000000000000001</c:v>
                </c:pt>
                <c:pt idx="1">
                  <c:v>0.56000000000000005</c:v>
                </c:pt>
                <c:pt idx="2">
                  <c:v>1.61</c:v>
                </c:pt>
                <c:pt idx="3">
                  <c:v>2.66</c:v>
                </c:pt>
                <c:pt idx="4">
                  <c:v>3.276462</c:v>
                </c:pt>
                <c:pt idx="5">
                  <c:v>3.1883431999999998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C8-46C1-8F98-5E1E92ADC767}"/>
            </c:ext>
          </c:extLst>
        </c:ser>
        <c:ser>
          <c:idx val="3"/>
          <c:order val="3"/>
          <c:tx>
            <c:strRef>
              <c:f>Abbildungen!$A$29</c:f>
              <c:strCache>
                <c:ptCount val="1"/>
                <c:pt idx="0">
                  <c:v>Legierung Stahl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Abbildungen!$B$29:$G$29</c:f>
              <c:numCache>
                <c:formatCode>_-* #,##0_-;\-* #,##0_-;_-* "-"??_-;_-@_-</c:formatCode>
                <c:ptCount val="6"/>
                <c:pt idx="0">
                  <c:v>4.2349999999999999E-2</c:v>
                </c:pt>
                <c:pt idx="1">
                  <c:v>0.28233333333333333</c:v>
                </c:pt>
                <c:pt idx="2">
                  <c:v>0.46585000000000004</c:v>
                </c:pt>
                <c:pt idx="3">
                  <c:v>0.59289999999999998</c:v>
                </c:pt>
                <c:pt idx="4">
                  <c:v>0.56466666666666665</c:v>
                </c:pt>
                <c:pt idx="5">
                  <c:v>0.56466666666666665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C8-46C1-8F98-5E1E92ADC767}"/>
            </c:ext>
          </c:extLst>
        </c:ser>
        <c:ser>
          <c:idx val="4"/>
          <c:order val="4"/>
          <c:tx>
            <c:strRef>
              <c:f>Abbildungen!$I$26</c:f>
              <c:strCache>
                <c:ptCount val="1"/>
                <c:pt idx="0">
                  <c:v>Abscheidung Zement</c:v>
                </c:pt>
              </c:strCache>
            </c:strRef>
          </c:tx>
          <c:spPr>
            <a:pattFill prst="dkDnDiag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C8-46C1-8F98-5E1E92ADC76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Abbildungen!$J$26:$O$26</c:f>
              <c:numCache>
                <c:formatCode>0.00</c:formatCode>
                <c:ptCount val="6"/>
                <c:pt idx="0">
                  <c:v>-0.35238767700000007</c:v>
                </c:pt>
                <c:pt idx="1">
                  <c:v>-1.9077915379999999</c:v>
                </c:pt>
                <c:pt idx="2">
                  <c:v>-5.423502236</c:v>
                </c:pt>
                <c:pt idx="3">
                  <c:v>-7.9847059470000001</c:v>
                </c:pt>
                <c:pt idx="4">
                  <c:v>-10.745360273000001</c:v>
                </c:pt>
                <c:pt idx="5">
                  <c:v>-10.05435084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C8-46C1-8F98-5E1E92ADC767}"/>
            </c:ext>
          </c:extLst>
        </c:ser>
        <c:ser>
          <c:idx val="5"/>
          <c:order val="5"/>
          <c:tx>
            <c:strRef>
              <c:f>Abbildungen!$I$27</c:f>
              <c:strCache>
                <c:ptCount val="1"/>
                <c:pt idx="0">
                  <c:v>Abscheidung Kalk</c:v>
                </c:pt>
              </c:strCache>
            </c:strRef>
          </c:tx>
          <c:spPr>
            <a:pattFill prst="ltDnDiag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val>
            <c:numRef>
              <c:f>Abbildungen!$J$27:$O$27</c:f>
              <c:numCache>
                <c:formatCode>0.00</c:formatCode>
                <c:ptCount val="6"/>
                <c:pt idx="0">
                  <c:v>0</c:v>
                </c:pt>
                <c:pt idx="1">
                  <c:v>-0.18333602299999999</c:v>
                </c:pt>
                <c:pt idx="2">
                  <c:v>-1.2105091299999999</c:v>
                </c:pt>
                <c:pt idx="3">
                  <c:v>-2.1669618009999998</c:v>
                </c:pt>
                <c:pt idx="4">
                  <c:v>-4.2322801370000001</c:v>
                </c:pt>
                <c:pt idx="5">
                  <c:v>-4.3462850710000005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BC8-46C1-8F98-5E1E92ADC767}"/>
            </c:ext>
          </c:extLst>
        </c:ser>
        <c:ser>
          <c:idx val="6"/>
          <c:order val="6"/>
          <c:tx>
            <c:strRef>
              <c:f>Abbildungen!$I$28</c:f>
              <c:strCache>
                <c:ptCount val="1"/>
                <c:pt idx="0">
                  <c:v>Abscheidung MVA</c:v>
                </c:pt>
              </c:strCache>
            </c:strRef>
          </c:tx>
          <c:spPr>
            <a:pattFill prst="dk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Abbildungen!$J$28:$O$28</c:f>
              <c:numCache>
                <c:formatCode>0.00</c:formatCode>
                <c:ptCount val="6"/>
                <c:pt idx="0">
                  <c:v>-0.59349467592592609</c:v>
                </c:pt>
                <c:pt idx="1">
                  <c:v>-3.457241666666667</c:v>
                </c:pt>
                <c:pt idx="2">
                  <c:v>-8.470592407407409</c:v>
                </c:pt>
                <c:pt idx="3">
                  <c:v>-12.548044768518523</c:v>
                </c:pt>
                <c:pt idx="4">
                  <c:v>-17.432887500000003</c:v>
                </c:pt>
                <c:pt idx="5">
                  <c:v>-17.432887500000003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C8-46C1-8F98-5E1E92AD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584384"/>
        <c:axId val="539588320"/>
      </c:barChart>
      <c:lineChart>
        <c:grouping val="standard"/>
        <c:varyColors val="0"/>
        <c:ser>
          <c:idx val="7"/>
          <c:order val="7"/>
          <c:tx>
            <c:strRef>
              <c:f>Abbildungen!$I$30</c:f>
              <c:strCache>
                <c:ptCount val="1"/>
                <c:pt idx="0">
                  <c:v>Bilanz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Abbildungen!$J$30:$O$30</c:f>
              <c:numCache>
                <c:formatCode>0.00</c:formatCode>
                <c:ptCount val="6"/>
                <c:pt idx="0">
                  <c:v>-0.76353235292592614</c:v>
                </c:pt>
                <c:pt idx="1">
                  <c:v>-4.6390046443333333</c:v>
                </c:pt>
                <c:pt idx="2">
                  <c:v>-11.974243356740741</c:v>
                </c:pt>
                <c:pt idx="3">
                  <c:v>-11.855895849851857</c:v>
                </c:pt>
                <c:pt idx="4">
                  <c:v>-5.1361909100000069</c:v>
                </c:pt>
                <c:pt idx="5">
                  <c:v>-4.6473052110000026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BC8-46C1-8F98-5E1E92AD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4384"/>
        <c:axId val="539588320"/>
      </c:lineChart>
      <c:catAx>
        <c:axId val="5395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8320"/>
        <c:crosses val="autoZero"/>
        <c:auto val="1"/>
        <c:lblAlgn val="ctr"/>
        <c:lblOffset val="0"/>
        <c:noMultiLvlLbl val="0"/>
      </c:catAx>
      <c:valAx>
        <c:axId val="539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CO2-Bilanz in Mt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43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T45-RedEff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Abbildungen!$A$19</c:f>
              <c:strCache>
                <c:ptCount val="1"/>
                <c:pt idx="0">
                  <c:v>H2-basierte Olefine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FA-4D9C-9CDC-787311D5B06C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FA-4D9C-9CDC-787311D5B06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Abbildungen!$B$19:$G$19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0.40752135416666668</c:v>
                </c:pt>
                <c:pt idx="3">
                  <c:v>6.5988999999999995</c:v>
                </c:pt>
                <c:pt idx="4">
                  <c:v>23.096150000000002</c:v>
                </c:pt>
                <c:pt idx="5">
                  <c:v>23.096150000000002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A-4D9C-9CDC-787311D5B06C}"/>
            </c:ext>
          </c:extLst>
        </c:ser>
        <c:ser>
          <c:idx val="1"/>
          <c:order val="1"/>
          <c:tx>
            <c:strRef>
              <c:f>Abbildungen!$A$20</c:f>
              <c:strCache>
                <c:ptCount val="1"/>
                <c:pt idx="0">
                  <c:v>H2-basiertes Methanol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Abbildungen!$B$20:$G$20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6.7031250000000001E-2</c:v>
                </c:pt>
                <c:pt idx="2">
                  <c:v>0.66171875000000002</c:v>
                </c:pt>
                <c:pt idx="3">
                  <c:v>1.3062499999999999</c:v>
                </c:pt>
                <c:pt idx="4">
                  <c:v>1.4368749999999999</c:v>
                </c:pt>
                <c:pt idx="5">
                  <c:v>1.4368749999999999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FA-4D9C-9CDC-787311D5B06C}"/>
            </c:ext>
          </c:extLst>
        </c:ser>
        <c:ser>
          <c:idx val="2"/>
          <c:order val="2"/>
          <c:tx>
            <c:strRef>
              <c:f>Abbildungen!$A$21</c:f>
              <c:strCache>
                <c:ptCount val="1"/>
                <c:pt idx="0">
                  <c:v>Folgeprodukte Ammoniak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FA-4D9C-9CDC-787311D5B06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Abbildungen!$B$21:$G$21</c:f>
              <c:numCache>
                <c:formatCode>_-* #,##0_-;\-* #,##0_-;_-* "-"??_-;_-@_-</c:formatCode>
                <c:ptCount val="6"/>
                <c:pt idx="0">
                  <c:v>0.14174999999999999</c:v>
                </c:pt>
                <c:pt idx="1">
                  <c:v>0.57400000000000007</c:v>
                </c:pt>
                <c:pt idx="2">
                  <c:v>1.6703749999999999</c:v>
                </c:pt>
                <c:pt idx="3">
                  <c:v>2.7930000000000001</c:v>
                </c:pt>
                <c:pt idx="4">
                  <c:v>3.4402850999999997</c:v>
                </c:pt>
                <c:pt idx="5">
                  <c:v>3.3477603599999997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FA-4D9C-9CDC-787311D5B06C}"/>
            </c:ext>
          </c:extLst>
        </c:ser>
        <c:ser>
          <c:idx val="3"/>
          <c:order val="3"/>
          <c:tx>
            <c:strRef>
              <c:f>Abbildungen!$A$22</c:f>
              <c:strCache>
                <c:ptCount val="1"/>
                <c:pt idx="0">
                  <c:v>Legierung Stahl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Abbildungen!$B$22:$G$22</c:f>
              <c:numCache>
                <c:formatCode>_-* #,##0_-;\-* #,##0_-;_-* "-"??_-;_-@_-</c:formatCode>
                <c:ptCount val="6"/>
                <c:pt idx="0">
                  <c:v>1.4293125E-2</c:v>
                </c:pt>
                <c:pt idx="1">
                  <c:v>0.15032878212916667</c:v>
                </c:pt>
                <c:pt idx="2">
                  <c:v>0.30017471383900007</c:v>
                </c:pt>
                <c:pt idx="3">
                  <c:v>0.50080475830000004</c:v>
                </c:pt>
                <c:pt idx="4">
                  <c:v>0.72304279226666657</c:v>
                </c:pt>
                <c:pt idx="5">
                  <c:v>0.72482973639999992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FA-4D9C-9CDC-787311D5B06C}"/>
            </c:ext>
          </c:extLst>
        </c:ser>
        <c:ser>
          <c:idx val="4"/>
          <c:order val="4"/>
          <c:tx>
            <c:strRef>
              <c:f>Abbildungen!$I$19</c:f>
              <c:strCache>
                <c:ptCount val="1"/>
                <c:pt idx="0">
                  <c:v>Abscheidung Zement</c:v>
                </c:pt>
              </c:strCache>
            </c:strRef>
          </c:tx>
          <c:spPr>
            <a:pattFill prst="dkDnDiag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FA-4D9C-9CDC-787311D5B06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Abbildungen!$J$19:$O$19</c:f>
              <c:numCache>
                <c:formatCode>0.00</c:formatCode>
                <c:ptCount val="6"/>
                <c:pt idx="0">
                  <c:v>-0.34468649699999998</c:v>
                </c:pt>
                <c:pt idx="1">
                  <c:v>-1.8400179430000001</c:v>
                </c:pt>
                <c:pt idx="2">
                  <c:v>-5.156805555</c:v>
                </c:pt>
                <c:pt idx="3">
                  <c:v>-7.5646112460000001</c:v>
                </c:pt>
                <c:pt idx="4">
                  <c:v>-10.180543416999999</c:v>
                </c:pt>
                <c:pt idx="5">
                  <c:v>-9.4883230540000003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FA-4D9C-9CDC-787311D5B06C}"/>
            </c:ext>
          </c:extLst>
        </c:ser>
        <c:ser>
          <c:idx val="5"/>
          <c:order val="5"/>
          <c:tx>
            <c:strRef>
              <c:f>Abbildungen!$I$20</c:f>
              <c:strCache>
                <c:ptCount val="1"/>
                <c:pt idx="0">
                  <c:v>Abscheidung Kalk</c:v>
                </c:pt>
              </c:strCache>
            </c:strRef>
          </c:tx>
          <c:spPr>
            <a:pattFill prst="ltDnDiag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val>
            <c:numRef>
              <c:f>Abbildungen!$J$20:$O$20</c:f>
              <c:numCache>
                <c:formatCode>0.00</c:formatCode>
                <c:ptCount val="6"/>
                <c:pt idx="0">
                  <c:v>0</c:v>
                </c:pt>
                <c:pt idx="1">
                  <c:v>-0.17842263500000002</c:v>
                </c:pt>
                <c:pt idx="2">
                  <c:v>-1.1641992790000002</c:v>
                </c:pt>
                <c:pt idx="3">
                  <c:v>-2.0757733950000001</c:v>
                </c:pt>
                <c:pt idx="4">
                  <c:v>-4.0467344030000003</c:v>
                </c:pt>
                <c:pt idx="5">
                  <c:v>-4.140492579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0FA-4D9C-9CDC-787311D5B06C}"/>
            </c:ext>
          </c:extLst>
        </c:ser>
        <c:ser>
          <c:idx val="6"/>
          <c:order val="6"/>
          <c:tx>
            <c:strRef>
              <c:f>Abbildungen!$I$21</c:f>
              <c:strCache>
                <c:ptCount val="1"/>
                <c:pt idx="0">
                  <c:v>Abscheidung MVA</c:v>
                </c:pt>
              </c:strCache>
            </c:strRef>
          </c:tx>
          <c:spPr>
            <a:pattFill prst="dk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Abbildungen!$J$21:$O$21</c:f>
              <c:numCache>
                <c:formatCode>0.00</c:formatCode>
                <c:ptCount val="6"/>
                <c:pt idx="0">
                  <c:v>-0.59349467592592609</c:v>
                </c:pt>
                <c:pt idx="1">
                  <c:v>-3.457241666666667</c:v>
                </c:pt>
                <c:pt idx="2">
                  <c:v>-8.470592407407409</c:v>
                </c:pt>
                <c:pt idx="3">
                  <c:v>-12.548044768518523</c:v>
                </c:pt>
                <c:pt idx="4">
                  <c:v>-17.432887500000003</c:v>
                </c:pt>
                <c:pt idx="5">
                  <c:v>-17.432887500000003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FA-4D9C-9CDC-787311D5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584384"/>
        <c:axId val="539588320"/>
      </c:barChart>
      <c:lineChart>
        <c:grouping val="standard"/>
        <c:varyColors val="0"/>
        <c:ser>
          <c:idx val="7"/>
          <c:order val="7"/>
          <c:tx>
            <c:strRef>
              <c:f>Abbildungen!$I$23</c:f>
              <c:strCache>
                <c:ptCount val="1"/>
                <c:pt idx="0">
                  <c:v>Bilanz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Abbildungen!$J$23:$O$23</c:f>
              <c:numCache>
                <c:formatCode>0.00</c:formatCode>
                <c:ptCount val="6"/>
                <c:pt idx="0">
                  <c:v>-0.78213804792592612</c:v>
                </c:pt>
                <c:pt idx="1">
                  <c:v>-4.6843222125375004</c:v>
                </c:pt>
                <c:pt idx="2">
                  <c:v>-11.751807423401743</c:v>
                </c:pt>
                <c:pt idx="3">
                  <c:v>-10.989474651218526</c:v>
                </c:pt>
                <c:pt idx="4">
                  <c:v>-2.963812427733334</c:v>
                </c:pt>
                <c:pt idx="5">
                  <c:v>-2.4560880366000006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0FA-4D9C-9CDC-787311D5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4384"/>
        <c:axId val="539588320"/>
      </c:lineChart>
      <c:catAx>
        <c:axId val="5395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8320"/>
        <c:crosses val="autoZero"/>
        <c:auto val="1"/>
        <c:lblAlgn val="ctr"/>
        <c:lblOffset val="0"/>
        <c:noMultiLvlLbl val="0"/>
      </c:catAx>
      <c:valAx>
        <c:axId val="539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CO2-Bilanz in Mt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43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T45-PtG/PtL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Abbildungen!$A$12</c:f>
              <c:strCache>
                <c:ptCount val="1"/>
                <c:pt idx="0">
                  <c:v>H2-basierte Olefine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C9-4E6D-A220-EDA7A8BB0E07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C9-4E6D-A220-EDA7A8BB0E0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Abbildungen!$B$12:$G$12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0.39279166666666671</c:v>
                </c:pt>
                <c:pt idx="3">
                  <c:v>6.2846666666666673</c:v>
                </c:pt>
                <c:pt idx="4">
                  <c:v>6.2846666666666673</c:v>
                </c:pt>
                <c:pt idx="5">
                  <c:v>6.2846666666666673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C9-4E6D-A220-EDA7A8BB0E07}"/>
            </c:ext>
          </c:extLst>
        </c:ser>
        <c:ser>
          <c:idx val="1"/>
          <c:order val="1"/>
          <c:tx>
            <c:strRef>
              <c:f>Abbildungen!$A$13</c:f>
              <c:strCache>
                <c:ptCount val="1"/>
                <c:pt idx="0">
                  <c:v>H2-basiertes Methanol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Abbildungen!$B$13:$G$13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C9-4E6D-A220-EDA7A8BB0E07}"/>
            </c:ext>
          </c:extLst>
        </c:ser>
        <c:ser>
          <c:idx val="2"/>
          <c:order val="2"/>
          <c:tx>
            <c:strRef>
              <c:f>Abbildungen!$A$14</c:f>
              <c:strCache>
                <c:ptCount val="1"/>
                <c:pt idx="0">
                  <c:v>Folgeprodukte Ammoniak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C9-4E6D-A220-EDA7A8BB0E0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Abbildungen!$B$14:$G$14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C9-4E6D-A220-EDA7A8BB0E07}"/>
            </c:ext>
          </c:extLst>
        </c:ser>
        <c:ser>
          <c:idx val="3"/>
          <c:order val="3"/>
          <c:tx>
            <c:strRef>
              <c:f>Abbildungen!$A$15</c:f>
              <c:strCache>
                <c:ptCount val="1"/>
                <c:pt idx="0">
                  <c:v>Legierung Stahl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Abbildungen!$B$15:$G$15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C9-4E6D-A220-EDA7A8BB0E07}"/>
            </c:ext>
          </c:extLst>
        </c:ser>
        <c:ser>
          <c:idx val="4"/>
          <c:order val="4"/>
          <c:tx>
            <c:strRef>
              <c:f>Abbildungen!$I$12</c:f>
              <c:strCache>
                <c:ptCount val="1"/>
                <c:pt idx="0">
                  <c:v>Abscheidung Zement</c:v>
                </c:pt>
              </c:strCache>
            </c:strRef>
          </c:tx>
          <c:spPr>
            <a:pattFill prst="dkDnDiag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C9-4E6D-A220-EDA7A8BB0E0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Abbildungen!$J$12:$O$12</c:f>
              <c:numCache>
                <c:formatCode>0.00</c:formatCode>
                <c:ptCount val="6"/>
                <c:pt idx="0">
                  <c:v>-0.34619946000000007</c:v>
                </c:pt>
                <c:pt idx="1">
                  <c:v>-1.8535674199999999</c:v>
                </c:pt>
                <c:pt idx="2">
                  <c:v>-5.3248471419999994</c:v>
                </c:pt>
                <c:pt idx="3">
                  <c:v>-7.9669578759999995</c:v>
                </c:pt>
                <c:pt idx="4">
                  <c:v>-11.249565841999999</c:v>
                </c:pt>
                <c:pt idx="5">
                  <c:v>-10.564175737999999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C9-4E6D-A220-EDA7A8BB0E07}"/>
            </c:ext>
          </c:extLst>
        </c:ser>
        <c:ser>
          <c:idx val="5"/>
          <c:order val="5"/>
          <c:tx>
            <c:strRef>
              <c:f>Abbildungen!$I$13</c:f>
              <c:strCache>
                <c:ptCount val="1"/>
                <c:pt idx="0">
                  <c:v>Abscheidung Kalk</c:v>
                </c:pt>
              </c:strCache>
            </c:strRef>
          </c:tx>
          <c:spPr>
            <a:pattFill prst="ltDnDiag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Abbildungen!$J$13:$O$13</c:f>
              <c:numCache>
                <c:formatCode>0.00</c:formatCode>
                <c:ptCount val="6"/>
                <c:pt idx="0">
                  <c:v>0</c:v>
                </c:pt>
                <c:pt idx="1">
                  <c:v>-0.17959060399999999</c:v>
                </c:pt>
                <c:pt idx="2">
                  <c:v>-1.1986645290000002</c:v>
                </c:pt>
                <c:pt idx="3">
                  <c:v>-2.1775989950000003</c:v>
                </c:pt>
                <c:pt idx="4">
                  <c:v>-4.4376801699999993</c:v>
                </c:pt>
                <c:pt idx="5">
                  <c:v>-4.5742166050000002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C9-4E6D-A220-EDA7A8BB0E07}"/>
            </c:ext>
          </c:extLst>
        </c:ser>
        <c:ser>
          <c:idx val="6"/>
          <c:order val="6"/>
          <c:tx>
            <c:strRef>
              <c:f>Abbildungen!$I$14</c:f>
              <c:strCache>
                <c:ptCount val="1"/>
                <c:pt idx="0">
                  <c:v>Abscheidung MVA</c:v>
                </c:pt>
              </c:strCache>
            </c:strRef>
          </c:tx>
          <c:spPr>
            <a:pattFill prst="dk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Abbildungen!$J$14:$O$14</c:f>
              <c:numCache>
                <c:formatCode>0.00</c:formatCode>
                <c:ptCount val="6"/>
                <c:pt idx="0">
                  <c:v>-0.59349467592592609</c:v>
                </c:pt>
                <c:pt idx="1">
                  <c:v>-3.457241666666667</c:v>
                </c:pt>
                <c:pt idx="2">
                  <c:v>-8.470592407407409</c:v>
                </c:pt>
                <c:pt idx="3">
                  <c:v>-12.548044768518523</c:v>
                </c:pt>
                <c:pt idx="4">
                  <c:v>-17.432887500000003</c:v>
                </c:pt>
                <c:pt idx="5">
                  <c:v>-17.432887500000003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C9-4E6D-A220-EDA7A8BB0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584384"/>
        <c:axId val="539588320"/>
      </c:barChart>
      <c:lineChart>
        <c:grouping val="standard"/>
        <c:varyColors val="0"/>
        <c:ser>
          <c:idx val="7"/>
          <c:order val="7"/>
          <c:tx>
            <c:strRef>
              <c:f>Abbildungen!$I$16</c:f>
              <c:strCache>
                <c:ptCount val="1"/>
                <c:pt idx="0">
                  <c:v>Bilanz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Abbildungen!$J$16:$O$16</c:f>
              <c:numCache>
                <c:formatCode>0.00</c:formatCode>
                <c:ptCount val="6"/>
                <c:pt idx="0">
                  <c:v>-0.9396941359259261</c:v>
                </c:pt>
                <c:pt idx="1">
                  <c:v>-5.490399690666667</c:v>
                </c:pt>
                <c:pt idx="2">
                  <c:v>-14.601312411740741</c:v>
                </c:pt>
                <c:pt idx="3">
                  <c:v>-16.407934972851855</c:v>
                </c:pt>
                <c:pt idx="4">
                  <c:v>-26.835466845333336</c:v>
                </c:pt>
                <c:pt idx="5">
                  <c:v>-26.286613176333333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C9-4E6D-A220-EDA7A8BB0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4384"/>
        <c:axId val="539588320"/>
      </c:lineChart>
      <c:catAx>
        <c:axId val="5395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8320"/>
        <c:crosses val="autoZero"/>
        <c:auto val="1"/>
        <c:lblAlgn val="ctr"/>
        <c:lblOffset val="0"/>
        <c:noMultiLvlLbl val="0"/>
      </c:catAx>
      <c:valAx>
        <c:axId val="539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CO2-Bilanz in Mt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43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O45-H2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Abbildungen!$A$5</c:f>
              <c:strCache>
                <c:ptCount val="1"/>
                <c:pt idx="0">
                  <c:v>H2-basierte Olefine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79-44E1-8826-6E9202CB0B21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79-44E1-8826-6E9202CB0B2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Abbildungen!$B$5:$G$5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1.5711666666666668</c:v>
                </c:pt>
                <c:pt idx="3">
                  <c:v>7.855833333333333</c:v>
                </c:pt>
                <c:pt idx="4">
                  <c:v>26.707885086666668</c:v>
                </c:pt>
                <c:pt idx="5">
                  <c:v>25.532526726666671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79-44E1-8826-6E9202CB0B21}"/>
            </c:ext>
          </c:extLst>
        </c:ser>
        <c:ser>
          <c:idx val="1"/>
          <c:order val="1"/>
          <c:tx>
            <c:strRef>
              <c:f>Abbildungen!$A$6</c:f>
              <c:strCache>
                <c:ptCount val="1"/>
                <c:pt idx="0">
                  <c:v>H2-basiertes Methanol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Abbildungen!$B$6:$G$6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6.8750000000000006E-2</c:v>
                </c:pt>
                <c:pt idx="3">
                  <c:v>0.6875</c:v>
                </c:pt>
                <c:pt idx="4">
                  <c:v>1.3978263750000002</c:v>
                </c:pt>
                <c:pt idx="5">
                  <c:v>1.3632286249999999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79-44E1-8826-6E9202CB0B21}"/>
            </c:ext>
          </c:extLst>
        </c:ser>
        <c:ser>
          <c:idx val="2"/>
          <c:order val="2"/>
          <c:tx>
            <c:strRef>
              <c:f>Abbildungen!$A$7</c:f>
              <c:strCache>
                <c:ptCount val="1"/>
                <c:pt idx="0">
                  <c:v>Folgeprodukte Ammoniak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79-44E1-8826-6E9202CB0B2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Abbildungen!$B$7:$G$7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7.0000000000000007E-2</c:v>
                </c:pt>
                <c:pt idx="2">
                  <c:v>0.24499999999999997</c:v>
                </c:pt>
                <c:pt idx="3">
                  <c:v>0.7</c:v>
                </c:pt>
                <c:pt idx="4">
                  <c:v>3.8174415999999995</c:v>
                </c:pt>
                <c:pt idx="5">
                  <c:v>3.7229541999999998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79-44E1-8826-6E9202CB0B21}"/>
            </c:ext>
          </c:extLst>
        </c:ser>
        <c:ser>
          <c:idx val="3"/>
          <c:order val="3"/>
          <c:tx>
            <c:strRef>
              <c:f>Abbildungen!$A$8</c:f>
              <c:strCache>
                <c:ptCount val="1"/>
                <c:pt idx="0">
                  <c:v>Legierung Stahl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Abbildungen!$B$32:$G$32</c:f>
              <c:numCache>
                <c:formatCode>General</c:formatCod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Abbildungen!$B$8:$G$8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0.19198666666666664</c:v>
                </c:pt>
                <c:pt idx="2">
                  <c:v>0.50819999999999999</c:v>
                </c:pt>
                <c:pt idx="3">
                  <c:v>0.64936666666666665</c:v>
                </c:pt>
                <c:pt idx="4">
                  <c:v>0.64936666666666665</c:v>
                </c:pt>
                <c:pt idx="5">
                  <c:v>0.63329402290000003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79-44E1-8826-6E9202CB0B21}"/>
            </c:ext>
          </c:extLst>
        </c:ser>
        <c:ser>
          <c:idx val="4"/>
          <c:order val="4"/>
          <c:tx>
            <c:strRef>
              <c:f>Abbildungen!$I$5</c:f>
              <c:strCache>
                <c:ptCount val="1"/>
                <c:pt idx="0">
                  <c:v>Abscheidung Zement</c:v>
                </c:pt>
              </c:strCache>
            </c:strRef>
          </c:tx>
          <c:spPr>
            <a:pattFill prst="dkDnDiag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79-44E1-8826-6E9202CB0B2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Abbildungen!$J$5:$O$5</c:f>
              <c:numCache>
                <c:formatCode>0.00</c:formatCode>
                <c:ptCount val="6"/>
                <c:pt idx="0">
                  <c:v>-0.30524782099999997</c:v>
                </c:pt>
                <c:pt idx="1">
                  <c:v>-1.8479283870000001</c:v>
                </c:pt>
                <c:pt idx="2">
                  <c:v>-4.765026056</c:v>
                </c:pt>
                <c:pt idx="3">
                  <c:v>-6.5626178229999992</c:v>
                </c:pt>
                <c:pt idx="4">
                  <c:v>-8.4872122300000008</c:v>
                </c:pt>
                <c:pt idx="5">
                  <c:v>-8.036079784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79-44E1-8826-6E9202CB0B21}"/>
            </c:ext>
          </c:extLst>
        </c:ser>
        <c:ser>
          <c:idx val="5"/>
          <c:order val="5"/>
          <c:tx>
            <c:strRef>
              <c:f>Abbildungen!$I$6</c:f>
              <c:strCache>
                <c:ptCount val="1"/>
                <c:pt idx="0">
                  <c:v>Abscheidung Kalk</c:v>
                </c:pt>
              </c:strCache>
            </c:strRef>
          </c:tx>
          <c:spPr>
            <a:pattFill prst="ltDnDiag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val>
            <c:numRef>
              <c:f>Abbildungen!$J$6:$O$6</c:f>
              <c:numCache>
                <c:formatCode>0.00</c:formatCode>
                <c:ptCount val="6"/>
                <c:pt idx="0">
                  <c:v>0</c:v>
                </c:pt>
                <c:pt idx="1">
                  <c:v>-0.21617538200000003</c:v>
                </c:pt>
                <c:pt idx="2">
                  <c:v>-1.1381008269999999</c:v>
                </c:pt>
                <c:pt idx="3">
                  <c:v>-1.8243972309999998</c:v>
                </c:pt>
                <c:pt idx="4">
                  <c:v>-3.2465367789999999</c:v>
                </c:pt>
                <c:pt idx="5">
                  <c:v>-3.158032231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979-44E1-8826-6E9202CB0B21}"/>
            </c:ext>
          </c:extLst>
        </c:ser>
        <c:ser>
          <c:idx val="6"/>
          <c:order val="6"/>
          <c:tx>
            <c:strRef>
              <c:f>Abbildungen!$I$7</c:f>
              <c:strCache>
                <c:ptCount val="1"/>
                <c:pt idx="0">
                  <c:v>Abscheidung MVA</c:v>
                </c:pt>
              </c:strCache>
            </c:strRef>
          </c:tx>
          <c:spPr>
            <a:pattFill prst="dkDn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Abbildungen!$J$7:$O$7</c:f>
              <c:numCache>
                <c:formatCode>0.00</c:formatCode>
                <c:ptCount val="6"/>
                <c:pt idx="0">
                  <c:v>-0.63819824957303739</c:v>
                </c:pt>
                <c:pt idx="1">
                  <c:v>-3.87258070075689</c:v>
                </c:pt>
                <c:pt idx="2">
                  <c:v>-10.517968246314835</c:v>
                </c:pt>
                <c:pt idx="3">
                  <c:v>-16.978397983873567</c:v>
                </c:pt>
                <c:pt idx="4">
                  <c:v>-26.69718096383458</c:v>
                </c:pt>
                <c:pt idx="5">
                  <c:v>-27.118375719208629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79-44E1-8826-6E9202CB0B21}"/>
            </c:ext>
          </c:extLst>
        </c:ser>
        <c:ser>
          <c:idx val="7"/>
          <c:order val="7"/>
          <c:tx>
            <c:v>Abscheidung MVA max</c:v>
          </c:tx>
          <c:spPr>
            <a:pattFill prst="dkDnDiag">
              <a:fgClr>
                <a:srgbClr val="E7E6E6"/>
              </a:fgClr>
              <a:bgClr>
                <a:srgbClr val="E7E6E6"/>
              </a:bgClr>
            </a:patt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Abbildungen!$J$8:$O$8</c:f>
              <c:numCache>
                <c:formatCode>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B-8979-44E1-8826-6E9202CB0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9584384"/>
        <c:axId val="539588320"/>
      </c:barChart>
      <c:lineChart>
        <c:grouping val="standard"/>
        <c:varyColors val="0"/>
        <c:ser>
          <c:idx val="8"/>
          <c:order val="8"/>
          <c:tx>
            <c:strRef>
              <c:f>Abbildungen!$I$9</c:f>
              <c:strCache>
                <c:ptCount val="1"/>
                <c:pt idx="0">
                  <c:v>Bilanz</c:v>
                </c:pt>
              </c:strCache>
            </c:strRef>
          </c:tx>
          <c:spPr>
            <a:ln w="22225" cap="rnd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Abbildungen!$J$9:$O$9</c:f>
              <c:numCache>
                <c:formatCode>0.00</c:formatCode>
                <c:ptCount val="6"/>
                <c:pt idx="0">
                  <c:v>-0.94344607057303742</c:v>
                </c:pt>
                <c:pt idx="1">
                  <c:v>-5.6746978030902229</c:v>
                </c:pt>
                <c:pt idx="2">
                  <c:v>-14.027978462648168</c:v>
                </c:pt>
                <c:pt idx="3">
                  <c:v>-15.472713037873566</c:v>
                </c:pt>
                <c:pt idx="4">
                  <c:v>-5.8584102445012434</c:v>
                </c:pt>
                <c:pt idx="5">
                  <c:v>-7.060484159641959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79-44E1-8826-6E9202CB0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4384"/>
        <c:axId val="539588320"/>
      </c:lineChart>
      <c:catAx>
        <c:axId val="5395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8320"/>
        <c:crosses val="autoZero"/>
        <c:auto val="1"/>
        <c:lblAlgn val="ctr"/>
        <c:lblOffset val="0"/>
        <c:noMultiLvlLbl val="0"/>
      </c:catAx>
      <c:valAx>
        <c:axId val="539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CO2-Bilanz in Mt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95843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743862533197586E-2"/>
          <c:y val="1.9402192163856729E-2"/>
          <c:w val="0.93108088761632068"/>
          <c:h val="0.417202306231309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Pivot_compare!$C$23</c:f>
              <c:strCache>
                <c:ptCount val="1"/>
                <c:pt idx="0">
                  <c:v>Cement clinker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Pivot_compare!$C$24:$C$37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13.548368380999998</c:v>
                </c:pt>
                <c:pt idx="3">
                  <c:v>13.548368380999998</c:v>
                </c:pt>
                <c:pt idx="4">
                  <c:v>11.930371541999998</c:v>
                </c:pt>
                <c:pt idx="5">
                  <c:v>11.930371541999998</c:v>
                </c:pt>
                <c:pt idx="6">
                  <c:v>12.866591305000002</c:v>
                </c:pt>
                <c:pt idx="7">
                  <c:v>12.866591305000002</c:v>
                </c:pt>
                <c:pt idx="8">
                  <c:v>11.769628456999998</c:v>
                </c:pt>
                <c:pt idx="9">
                  <c:v>11.769628456999998</c:v>
                </c:pt>
                <c:pt idx="10">
                  <c:v>10.766591305000002</c:v>
                </c:pt>
                <c:pt idx="11">
                  <c:v>10.766591305000002</c:v>
                </c:pt>
                <c:pt idx="12">
                  <c:v>10.766591305000002</c:v>
                </c:pt>
                <c:pt idx="13">
                  <c:v>10.766591305000002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D-457F-B08F-C025A3C2AB51}"/>
            </c:ext>
          </c:extLst>
        </c:ser>
        <c:ser>
          <c:idx val="1"/>
          <c:order val="1"/>
          <c:tx>
            <c:strRef>
              <c:f>Pivot_compare!$D$23</c:f>
              <c:strCache>
                <c:ptCount val="1"/>
                <c:pt idx="0">
                  <c:v>Chemical park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Pivot_compare!$D$24:$D$37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4.5240010000000002</c:v>
                </c:pt>
                <c:pt idx="7">
                  <c:v>0</c:v>
                </c:pt>
                <c:pt idx="8">
                  <c:v>9.047998999999999</c:v>
                </c:pt>
                <c:pt idx="9">
                  <c:v>0</c:v>
                </c:pt>
                <c:pt idx="10">
                  <c:v>13.572000000000001</c:v>
                </c:pt>
                <c:pt idx="11">
                  <c:v>0</c:v>
                </c:pt>
                <c:pt idx="12">
                  <c:v>13.572000000000001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FD-457F-B08F-C025A3C2AB51}"/>
            </c:ext>
          </c:extLst>
        </c:ser>
        <c:ser>
          <c:idx val="2"/>
          <c:order val="2"/>
          <c:tx>
            <c:strRef>
              <c:f>Pivot_compare!$E$23</c:f>
              <c:strCache>
                <c:ptCount val="1"/>
                <c:pt idx="0">
                  <c:v>Iron and steel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Pivot_compare!$E$24:$E$37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8.4261669999999995</c:v>
                </c:pt>
                <c:pt idx="7">
                  <c:v>0</c:v>
                </c:pt>
                <c:pt idx="8">
                  <c:v>16.852332999999998</c:v>
                </c:pt>
                <c:pt idx="9">
                  <c:v>0</c:v>
                </c:pt>
                <c:pt idx="10">
                  <c:v>25.278500000000001</c:v>
                </c:pt>
                <c:pt idx="11">
                  <c:v>0</c:v>
                </c:pt>
                <c:pt idx="12">
                  <c:v>25.278500000000001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FD-457F-B08F-C025A3C2AB51}"/>
            </c:ext>
          </c:extLst>
        </c:ser>
        <c:ser>
          <c:idx val="3"/>
          <c:order val="3"/>
          <c:tx>
            <c:strRef>
              <c:f>Pivot_compare!$F$23</c:f>
              <c:strCache>
                <c:ptCount val="1"/>
                <c:pt idx="0">
                  <c:v>Lime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Pivot_compare!$F$24:$F$37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3.4999999980000012</c:v>
                </c:pt>
                <c:pt idx="3">
                  <c:v>3.4999999980000012</c:v>
                </c:pt>
                <c:pt idx="4">
                  <c:v>4.2000000010000003</c:v>
                </c:pt>
                <c:pt idx="5">
                  <c:v>4.2000000010000003</c:v>
                </c:pt>
                <c:pt idx="6">
                  <c:v>3.4999999980000012</c:v>
                </c:pt>
                <c:pt idx="7">
                  <c:v>3.4999999980000012</c:v>
                </c:pt>
                <c:pt idx="8">
                  <c:v>3.2000000020000008</c:v>
                </c:pt>
                <c:pt idx="9">
                  <c:v>3.2000000010000007</c:v>
                </c:pt>
                <c:pt idx="10">
                  <c:v>3.000000001400001</c:v>
                </c:pt>
                <c:pt idx="11">
                  <c:v>2.9999999630000005</c:v>
                </c:pt>
                <c:pt idx="12">
                  <c:v>3.000000001400001</c:v>
                </c:pt>
                <c:pt idx="13">
                  <c:v>2.9999999630000005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FD-457F-B08F-C025A3C2AB51}"/>
            </c:ext>
          </c:extLst>
        </c:ser>
        <c:ser>
          <c:idx val="4"/>
          <c:order val="4"/>
          <c:tx>
            <c:strRef>
              <c:f>Pivot_compare!$G$23</c:f>
              <c:strCache>
                <c:ptCount val="1"/>
                <c:pt idx="0">
                  <c:v>municipal waste incinerator.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Pivot_compare!$G$24:$G$37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0.59349467499999997</c:v>
                </c:pt>
                <c:pt idx="3">
                  <c:v>0.59349467499999997</c:v>
                </c:pt>
                <c:pt idx="4">
                  <c:v>3.4572416690000005</c:v>
                </c:pt>
                <c:pt idx="5">
                  <c:v>3.4572416690000005</c:v>
                </c:pt>
                <c:pt idx="6">
                  <c:v>8.4705924060000015</c:v>
                </c:pt>
                <c:pt idx="7">
                  <c:v>8.4705924060000015</c:v>
                </c:pt>
                <c:pt idx="8">
                  <c:v>12.548044769000002</c:v>
                </c:pt>
                <c:pt idx="9">
                  <c:v>12.548044769000002</c:v>
                </c:pt>
                <c:pt idx="10">
                  <c:v>17.432887501</c:v>
                </c:pt>
                <c:pt idx="11">
                  <c:v>17.432887501</c:v>
                </c:pt>
                <c:pt idx="12">
                  <c:v>17.432887501</c:v>
                </c:pt>
                <c:pt idx="13">
                  <c:v>17.432887501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FD-457F-B08F-C025A3C2AB51}"/>
            </c:ext>
          </c:extLst>
        </c:ser>
        <c:ser>
          <c:idx val="5"/>
          <c:order val="5"/>
          <c:tx>
            <c:strRef>
              <c:f>Pivot_compare!$H$23</c:f>
              <c:strCache>
                <c:ptCount val="1"/>
                <c:pt idx="0">
                  <c:v>Refinery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Pivot_compare!$H$24:$H$37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5.5986669999999998</c:v>
                </c:pt>
                <c:pt idx="7">
                  <c:v>0</c:v>
                </c:pt>
                <c:pt idx="8">
                  <c:v>11.197333</c:v>
                </c:pt>
                <c:pt idx="9">
                  <c:v>0</c:v>
                </c:pt>
                <c:pt idx="10">
                  <c:v>16.795999999999999</c:v>
                </c:pt>
                <c:pt idx="11">
                  <c:v>0</c:v>
                </c:pt>
                <c:pt idx="12">
                  <c:v>16.795999999999999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FD-457F-B08F-C025A3C2AB51}"/>
            </c:ext>
          </c:extLst>
        </c:ser>
        <c:ser>
          <c:idx val="6"/>
          <c:order val="6"/>
          <c:tx>
            <c:strRef>
              <c:f>Pivot_compare!$I$23</c:f>
              <c:strCache>
                <c:ptCount val="1"/>
                <c:pt idx="0">
                  <c:v>Steam cracker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Pivot_compare!$A$24:$B$37</c:f>
              <c:multiLvlStrCache>
                <c:ptCount val="14"/>
                <c:lvl>
                  <c:pt idx="0">
                    <c:v>Industrie-CCS</c:v>
                  </c:pt>
                  <c:pt idx="1">
                    <c:v>Orientierungsszenario_Strom</c:v>
                  </c:pt>
                  <c:pt idx="2">
                    <c:v>Industrie-CCS</c:v>
                  </c:pt>
                  <c:pt idx="3">
                    <c:v>Orientierungsszenario_Strom</c:v>
                  </c:pt>
                  <c:pt idx="4">
                    <c:v>Industrie-CCS</c:v>
                  </c:pt>
                  <c:pt idx="5">
                    <c:v>Orientierungsszenario_Strom</c:v>
                  </c:pt>
                  <c:pt idx="6">
                    <c:v>Industrie-CCS</c:v>
                  </c:pt>
                  <c:pt idx="7">
                    <c:v>Orientierungsszenario_Strom</c:v>
                  </c:pt>
                  <c:pt idx="8">
                    <c:v>Industrie-CCS</c:v>
                  </c:pt>
                  <c:pt idx="9">
                    <c:v>Orientierungsszenario_Strom</c:v>
                  </c:pt>
                  <c:pt idx="10">
                    <c:v>Industrie-CCS</c:v>
                  </c:pt>
                  <c:pt idx="11">
                    <c:v>Orientierungsszenario_Strom</c:v>
                  </c:pt>
                  <c:pt idx="12">
                    <c:v>Industrie-CCS</c:v>
                  </c:pt>
                  <c:pt idx="13">
                    <c:v>Orientierungsszenario_Strom</c:v>
                  </c:pt>
                </c:lvl>
                <c:lvl>
                  <c:pt idx="0">
                    <c:v>2020</c:v>
                  </c:pt>
                  <c:pt idx="2">
                    <c:v>2025</c:v>
                  </c:pt>
                  <c:pt idx="4">
                    <c:v>2030</c:v>
                  </c:pt>
                  <c:pt idx="6">
                    <c:v>2035</c:v>
                  </c:pt>
                  <c:pt idx="8">
                    <c:v>2040</c:v>
                  </c:pt>
                  <c:pt idx="10">
                    <c:v>2045</c:v>
                  </c:pt>
                  <c:pt idx="12">
                    <c:v>2050</c:v>
                  </c:pt>
                </c:lvl>
              </c:multiLvlStrCache>
            </c:multiLvlStrRef>
          </c:cat>
          <c:val>
            <c:numRef>
              <c:f>Pivot_compare!$I$24:$I$37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1.2336670000000001</c:v>
                </c:pt>
                <c:pt idx="7">
                  <c:v>0</c:v>
                </c:pt>
                <c:pt idx="8">
                  <c:v>2.4673329999999996</c:v>
                </c:pt>
                <c:pt idx="9">
                  <c:v>0</c:v>
                </c:pt>
                <c:pt idx="10">
                  <c:v>3.7010000000000005</c:v>
                </c:pt>
                <c:pt idx="11">
                  <c:v>0</c:v>
                </c:pt>
                <c:pt idx="12">
                  <c:v>3.7010000000000005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FD-457F-B08F-C025A3C2A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0757071"/>
        <c:axId val="1280764271"/>
      </c:barChart>
      <c:catAx>
        <c:axId val="128075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764271"/>
        <c:crosses val="autoZero"/>
        <c:auto val="1"/>
        <c:lblAlgn val="ctr"/>
        <c:lblOffset val="100"/>
        <c:noMultiLvlLbl val="0"/>
      </c:catAx>
      <c:valAx>
        <c:axId val="12807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75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108238</xdr:colOff>
      <xdr:row>4</xdr:row>
      <xdr:rowOff>173180</xdr:rowOff>
    </xdr:from>
    <xdr:to>
      <xdr:col>28</xdr:col>
      <xdr:colOff>469923</xdr:colOff>
      <xdr:row>38</xdr:row>
      <xdr:rowOff>6926</xdr:rowOff>
    </xdr:to>
    <xdr:pic>
      <xdr:nvPicPr>
        <xdr:cNvPr id="2" name="Inhaltsplatzhalter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2420" y="893616"/>
          <a:ext cx="6679358" cy="59574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318655</xdr:colOff>
      <xdr:row>4</xdr:row>
      <xdr:rowOff>32905</xdr:rowOff>
    </xdr:from>
    <xdr:to>
      <xdr:col>19</xdr:col>
      <xdr:colOff>105522</xdr:colOff>
      <xdr:row>37</xdr:row>
      <xdr:rowOff>110837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6619" y="753341"/>
          <a:ext cx="9263376" cy="602153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582145</xdr:colOff>
      <xdr:row>39</xdr:row>
      <xdr:rowOff>124385</xdr:rowOff>
    </xdr:from>
    <xdr:to>
      <xdr:col>25</xdr:col>
      <xdr:colOff>60776</xdr:colOff>
      <xdr:row>65</xdr:row>
      <xdr:rowOff>31385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371475</xdr:colOff>
      <xdr:row>40</xdr:row>
      <xdr:rowOff>171450</xdr:rowOff>
    </xdr:from>
    <xdr:to>
      <xdr:col>12</xdr:col>
      <xdr:colOff>410400</xdr:colOff>
      <xdr:row>66</xdr:row>
      <xdr:rowOff>78450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104775</xdr:colOff>
      <xdr:row>42</xdr:row>
      <xdr:rowOff>180975</xdr:rowOff>
    </xdr:from>
    <xdr:to>
      <xdr:col>12</xdr:col>
      <xdr:colOff>743775</xdr:colOff>
      <xdr:row>68</xdr:row>
      <xdr:rowOff>87975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419100</xdr:colOff>
      <xdr:row>44</xdr:row>
      <xdr:rowOff>161925</xdr:rowOff>
    </xdr:from>
    <xdr:to>
      <xdr:col>13</xdr:col>
      <xdr:colOff>286575</xdr:colOff>
      <xdr:row>70</xdr:row>
      <xdr:rowOff>68925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419939</xdr:colOff>
      <xdr:row>47</xdr:row>
      <xdr:rowOff>51154</xdr:rowOff>
    </xdr:from>
    <xdr:to>
      <xdr:col>13</xdr:col>
      <xdr:colOff>286182</xdr:colOff>
      <xdr:row>72</xdr:row>
      <xdr:rowOff>135320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2</xdr:row>
      <xdr:rowOff>119062</xdr:rowOff>
    </xdr:from>
    <xdr:to>
      <xdr:col>11</xdr:col>
      <xdr:colOff>561975</xdr:colOff>
      <xdr:row>23</xdr:row>
      <xdr:rowOff>133350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53C552B-E13B-40C2-6854-222066E84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-Dabbas, Khaled" refreshedDate="46181.555904513887" createdVersion="8" refreshedVersion="8" minRefreshableVersion="3" recordCount="387" xr:uid="{A5460A80-08D7-49F2-B988-D2351B35A368}">
  <cacheSource type="worksheet">
    <worksheetSource ref="A1:T424" sheet="Process-emissions"/>
  </cacheSource>
  <cacheFields count="20">
    <cacheField name="Scenario" numFmtId="0">
      <sharedItems containsBlank="1" count="3">
        <s v="Orientierungsszenario_Strom"/>
        <s v="Industrie-CCS"/>
        <m/>
      </sharedItems>
    </cacheField>
    <cacheField name="Country" numFmtId="0">
      <sharedItems containsBlank="1"/>
    </cacheField>
    <cacheField name="Energy_carrier" numFmtId="0">
      <sharedItems containsBlank="1"/>
    </cacheField>
    <cacheField name="Sector" numFmtId="0">
      <sharedItems containsBlank="1"/>
    </cacheField>
    <cacheField name="Region" numFmtId="0">
      <sharedItems containsDate="1" containsBlank="1" containsMixedTypes="1" minDate="2001-12-01T00:00:00" maxDate="2003-12-02T00:00:00" count="151">
        <s v="DE11C"/>
        <s v="DE128"/>
        <s v="DE123"/>
        <s v="DE145"/>
        <s v="DE143"/>
        <s v="DEF0E"/>
        <s v="DE929"/>
        <s v="DEA38"/>
        <s v="DEA37"/>
        <s v="DEA47"/>
        <s v="DEA5B"/>
        <s v="DE714"/>
        <s v="DE732"/>
        <s v="DEB24"/>
        <s v="DEB3D"/>
        <s v="DE21K"/>
        <s v="DE239"/>
        <s v="DE25C"/>
        <s v="DE26A"/>
        <s v="DE27D"/>
        <s v="DE409"/>
        <s v="DEE0C"/>
        <s v="DEE08"/>
        <s v="DEG06"/>
        <s v="DEG0L"/>
        <s v="DE918"/>
        <s v="DE916"/>
        <s v="DE226"/>
        <s v="DEA1A"/>
        <s v="DEE09"/>
        <s v="DE139"/>
        <s v="DEA59"/>
        <s v="DE723"/>
        <s v="DEB1A"/>
        <s v="DE232"/>
        <s v="DEA42"/>
        <s v="DEA1C"/>
        <s v="DEA57"/>
        <s v="DEA58"/>
        <s v="DE923"/>
        <s v="DE24B"/>
        <s v="DE925"/>
        <s v="DE91B"/>
        <s v="DEE07"/>
        <s v="DE93A"/>
        <s v="DE91A"/>
        <s v="DE737"/>
        <s v="DE236"/>
        <s v="DEA26"/>
        <s v="DEA28"/>
        <s v="DEA45"/>
        <s v="DEA1B"/>
        <s v="DE40C"/>
        <s v="DE80N"/>
        <s v="DEA44"/>
        <s v="DE735"/>
        <s v="DE118"/>
        <s v="DE26C"/>
        <s v="DE407"/>
        <s v="DEB3C"/>
        <s v="DE224"/>
        <s v="DE132"/>
        <s v="DE273"/>
        <s v="DE213"/>
        <s v="DE214"/>
        <s v="DE212"/>
        <s v="DE217"/>
        <s v="DE275"/>
        <s v="DE279"/>
        <s v="DE144"/>
        <s v="DE114"/>
        <s v="DE112"/>
        <s v="DE111"/>
        <s v="DE219"/>
        <s v="DE254"/>
        <s v="DEB34"/>
        <s v="DEB37"/>
        <s v="Dec-03"/>
        <s v="Dec-01"/>
        <s v="DE126"/>
        <s v="DE241"/>
        <s v="DE243"/>
        <s v="DE262"/>
        <s v="DE263"/>
        <s v="DE71C"/>
        <s v="DE712"/>
        <s v="DE711"/>
        <s v="DEG0I"/>
        <s v="DEG04"/>
        <s v="DE721"/>
        <s v="DEB17"/>
        <s v="DEG01"/>
        <s v="DE733"/>
        <s v="DEA22"/>
        <s v="DEA27"/>
        <s v="DEA2D"/>
        <s v="DEA23"/>
        <s v="DEA24"/>
        <s v="DEA19"/>
        <s v="DEA11"/>
        <s v="DEA53"/>
        <s v="DEA14"/>
        <s v="DEA54"/>
        <s v="DEA36"/>
        <s v="DEA13"/>
        <s v="DEA17"/>
        <s v="DEA1F"/>
        <s v="DEA41"/>
        <s v="DEA46"/>
        <s v="DE917"/>
        <s v="DE731"/>
        <s v="DEE03"/>
        <s v="DEE0A"/>
        <s v="DEE05"/>
        <s v="DEE0B"/>
        <s v="DE408"/>
        <s v="DE300"/>
        <s v="DE40B"/>
        <s v="DE40G"/>
        <s v="DED2C"/>
        <s v="DE40I"/>
        <s v="DE80J"/>
        <s v="DE803"/>
        <s v="DE80O"/>
        <s v="DEF08"/>
        <s v="DEF02"/>
        <s v="DEF04"/>
        <s v="DEF0F"/>
        <s v="DE600"/>
        <s v="DEF09"/>
        <s v="DE502"/>
        <s v="DE94G"/>
        <s v="DE501"/>
        <s v="DE94C"/>
        <s v="DE94B"/>
        <s v="DE949"/>
        <s v="DE912"/>
        <s v="DEA12"/>
        <s v="DEC04"/>
        <s v="DE122"/>
        <s v="DE21J"/>
        <s v="DE939"/>
        <s v="DEA1D"/>
        <s v="DEA32"/>
        <s v="DED52"/>
        <s v="DEF05"/>
        <m/>
        <s v="DEC03" u="1"/>
        <s v="DEC01" u="1"/>
        <d v="2003-12-01T00:00:00" u="1"/>
        <d v="2001-12-01T00:00:00" u="1"/>
      </sharedItems>
    </cacheField>
    <cacheField name="Name_Region" numFmtId="0">
      <sharedItems containsBlank="1"/>
    </cacheField>
    <cacheField name="Subsector" numFmtId="0">
      <sharedItems containsBlank="1" count="8">
        <s v="Cement clinker"/>
        <s v="Lime "/>
        <s v="municipal waste incinerator."/>
        <s v="Iron and steel"/>
        <s v="Refinery"/>
        <s v="Chemical park"/>
        <s v="Steam cracker"/>
        <m/>
      </sharedItems>
    </cacheField>
    <cacheField name="Application" numFmtId="0">
      <sharedItems containsBlank="1"/>
    </cacheField>
    <cacheField name="Technologie" numFmtId="0">
      <sharedItems containsNonDate="0" containsString="0" containsBlank="1"/>
    </cacheField>
    <cacheField name="latitude" numFmtId="0">
      <sharedItems containsString="0" containsBlank="1" containsNumber="1" minValue="47.658802999999999" maxValue="54.307207630000001"/>
    </cacheField>
    <cacheField name="longitude" numFmtId="0">
      <sharedItems containsString="0" containsBlank="1" containsNumber="1" minValue="6.3146604079999999" maxValue="14.640119070000001"/>
    </cacheField>
    <cacheField name="Unit" numFmtId="0">
      <sharedItems containsBlank="1"/>
    </cacheField>
    <cacheField name="2020" numFmtId="0">
      <sharedItems containsString="0" containsBlank="1" containsNumber="1" minValue="0" maxValue="0.96694575999999999"/>
    </cacheField>
    <cacheField name="2025" numFmtId="0">
      <sharedItems containsString="0" containsBlank="1" containsNumber="1" minValue="0" maxValue="0.96694575999999999"/>
    </cacheField>
    <cacheField name="2030" numFmtId="0">
      <sharedItems containsString="0" containsBlank="1" containsNumber="1" minValue="0" maxValue="0.85744965500000003"/>
    </cacheField>
    <cacheField name="2035" numFmtId="0">
      <sharedItems containsString="0" containsBlank="1" containsNumber="1" minValue="1.00845E-4" maxValue="3.98142"/>
    </cacheField>
    <cacheField name="2040" numFmtId="0">
      <sharedItems containsString="0" containsBlank="1" containsNumber="1" minValue="9.2200000000000005E-5" maxValue="7.9628399999999999"/>
    </cacheField>
    <cacheField name="2045" numFmtId="0">
      <sharedItems containsString="0" containsBlank="1" containsNumber="1" minValue="8.6399999999999999E-5" maxValue="11.94426"/>
    </cacheField>
    <cacheField name="2050" numFmtId="0">
      <sharedItems containsString="0" containsBlank="1" containsNumber="1" minValue="8.6399999999999999E-5" maxValue="11.94426"/>
    </cacheField>
    <cacheField name="Feld20" caption="Feld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">
  <r>
    <x v="0"/>
    <s v="DE"/>
    <s v="process_emissions"/>
    <s v="Industry"/>
    <x v="0"/>
    <s v="Heidenheim"/>
    <x v="0"/>
    <s v="CO2 capture"/>
    <m/>
    <n v="48.653686829999998"/>
    <n v="10.16246767"/>
    <s v="CO2-Abscheidung [Mt/a]"/>
    <n v="0.413052963"/>
    <n v="0.36142134300000001"/>
    <n v="0.39179288400000001"/>
    <n v="0.35838418900000002"/>
    <n v="0.32801264699999999"/>
    <n v="0.294603952"/>
    <n v="0.294603952"/>
    <m/>
  </r>
  <r>
    <x v="0"/>
    <s v="DE"/>
    <s v="process_emissions"/>
    <s v="Industry"/>
    <x v="1"/>
    <s v="Rhein-Neckar-Kreis"/>
    <x v="0"/>
    <s v="CO2 capture"/>
    <m/>
    <n v="49.357679390000001"/>
    <n v="8.6858323980000005"/>
    <s v="CO2-Abscheidung [Mt/a]"/>
    <n v="0.383086916"/>
    <n v="0.383086916"/>
    <n v="0.33520105100000003"/>
    <n v="0.36336920700000003"/>
    <n v="0.332384236"/>
    <n v="0.30421608"/>
    <n v="0.30421608"/>
    <m/>
  </r>
  <r>
    <x v="0"/>
    <s v="DE"/>
    <s v="process_emissions"/>
    <s v="Industry"/>
    <x v="2"/>
    <s v="Karlsruhe, Landkreis"/>
    <x v="0"/>
    <s v="CO2 capture"/>
    <m/>
    <n v="49.018412980000001"/>
    <n v="8.6124897310000001"/>
    <s v="CO2-Abscheidung [Mt/a]"/>
    <n v="0.35976087899999998"/>
    <n v="0.35976087899999998"/>
    <n v="0.31479076900000003"/>
    <n v="0.34124377500000003"/>
    <n v="0.31214546799999998"/>
    <n v="0.28569246300000001"/>
    <n v="0.28569246300000001"/>
    <m/>
  </r>
  <r>
    <x v="0"/>
    <s v="DE"/>
    <s v="process_emissions"/>
    <s v="Industry"/>
    <x v="3"/>
    <s v="Alb-Donau-Kreis"/>
    <x v="0"/>
    <s v="CO2 capture"/>
    <m/>
    <n v="48.331986280000002"/>
    <n v="9.7304687479999998"/>
    <s v="CO2-Abscheidung [Mt/a]"/>
    <n v="0.45278303800000003"/>
    <n v="0.45278303800000003"/>
    <n v="0.39618515799999998"/>
    <n v="0.42947802899999998"/>
    <n v="0.39285587100000002"/>
    <n v="0.35956300099999999"/>
    <n v="0.35956300099999999"/>
    <m/>
  </r>
  <r>
    <x v="0"/>
    <s v="DE"/>
    <s v="process_emissions"/>
    <s v="Industry"/>
    <x v="3"/>
    <s v="Alb-Donau-Kreis"/>
    <x v="0"/>
    <s v="CO2 capture"/>
    <m/>
    <n v="48.368603120000003"/>
    <n v="9.7346784"/>
    <s v="CO2-Abscheidung [Mt/a]"/>
    <n v="0.60784703699999998"/>
    <n v="0.60784703699999998"/>
    <n v="0.53186615699999995"/>
    <n v="0.57656079199999999"/>
    <n v="0.527396694"/>
    <n v="0.48270205900000002"/>
    <n v="0.48270205900000002"/>
    <m/>
  </r>
  <r>
    <x v="0"/>
    <s v="DE"/>
    <s v="process_emissions"/>
    <s v="Industry"/>
    <x v="4"/>
    <s v="Zollernalbkreis"/>
    <x v="0"/>
    <s v="CO2 capture"/>
    <m/>
    <n v="48.227041210000003"/>
    <n v="8.7790961079999992"/>
    <s v="CO2-Abscheidung [Mt/a]"/>
    <n v="0.52629559800000003"/>
    <n v="0.52629559800000003"/>
    <n v="0.46050864800000002"/>
    <n v="0.49920685399999998"/>
    <n v="0.45663882700000002"/>
    <n v="0.41794062199999998"/>
    <n v="0.41794062199999998"/>
    <m/>
  </r>
  <r>
    <x v="0"/>
    <s v="DE"/>
    <s v="process_emissions"/>
    <s v="Industry"/>
    <x v="5"/>
    <s v="Steinburg"/>
    <x v="0"/>
    <s v="CO2 capture"/>
    <m/>
    <n v="53.874164919999998"/>
    <n v="9.5832685959999999"/>
    <s v="CO2-Abscheidung [Mt/a]"/>
    <n v="0.79108328400000005"/>
    <n v="0.79108328400000005"/>
    <n v="0.69219787300000002"/>
    <n v="0.75036576200000005"/>
    <n v="0.68638108399999997"/>
    <n v="0.62821319600000003"/>
    <n v="0.62821319600000003"/>
    <m/>
  </r>
  <r>
    <x v="0"/>
    <s v="DE"/>
    <s v="process_emissions"/>
    <s v="Industry"/>
    <x v="6"/>
    <s v="Region Hannover"/>
    <x v="0"/>
    <s v="CO2 capture"/>
    <m/>
    <n v="52.349831299999998"/>
    <n v="9.8859338710000007"/>
    <s v="CO2-Abscheidung [Mt/a]"/>
    <n v="0.46625867999999998"/>
    <n v="0.46625867999999998"/>
    <n v="0.40797634500000002"/>
    <n v="0.44226007099999998"/>
    <n v="0.40454797199999998"/>
    <n v="0.37026424600000002"/>
    <n v="0.37026424600000002"/>
    <m/>
  </r>
  <r>
    <x v="0"/>
    <s v="DE"/>
    <s v="process_emissions"/>
    <s v="Industry"/>
    <x v="7"/>
    <s v="Warendorf"/>
    <x v="0"/>
    <s v="CO2 capture"/>
    <m/>
    <n v="51.765173730000001"/>
    <n v="8.0540287880000001"/>
    <s v="CO2-Abscheidung [Mt/a]"/>
    <n v="0.41116984299999998"/>
    <n v="0.41116984299999998"/>
    <n v="0.35977361299999999"/>
    <n v="0.39000668900000002"/>
    <n v="0.35675030499999999"/>
    <n v="0.32651722799999999"/>
    <n v="0.32651722799999999"/>
    <m/>
  </r>
  <r>
    <x v="0"/>
    <s v="DE"/>
    <s v="process_emissions"/>
    <s v="Industry"/>
    <x v="8"/>
    <s v="Steinfurt"/>
    <x v="0"/>
    <s v="CO2 capture"/>
    <m/>
    <n v="52.174985890000002"/>
    <n v="7.8878276410000003"/>
    <s v="CO2-Abscheidung [Mt/a]"/>
    <n v="0.78009607700000005"/>
    <n v="0.78009607700000005"/>
    <n v="0.68258406800000004"/>
    <n v="0.73994407299999998"/>
    <n v="0.676848067"/>
    <n v="0.61948806099999998"/>
    <n v="0.61948806099999998"/>
    <m/>
  </r>
  <r>
    <x v="0"/>
    <s v="DE"/>
    <s v="process_emissions"/>
    <s v="Industry"/>
    <x v="9"/>
    <s v="Paderborn"/>
    <x v="0"/>
    <s v="CO2 capture"/>
    <m/>
    <n v="51.698988470000003"/>
    <n v="8.7470409070000006"/>
    <s v="CO2-Abscheidung [Mt/a]"/>
    <n v="0.16345647099999999"/>
    <n v="0.16345647099999999"/>
    <n v="0.14302441199999999"/>
    <n v="0.15504327000000001"/>
    <n v="0.141822526"/>
    <n v="0.12980366800000001"/>
    <n v="0.12980366800000001"/>
    <m/>
  </r>
  <r>
    <x v="0"/>
    <s v="DE"/>
    <s v="process_emissions"/>
    <s v="Industry"/>
    <x v="10"/>
    <s v="Soest"/>
    <x v="0"/>
    <s v="CO2 capture"/>
    <m/>
    <n v="51.62256052"/>
    <n v="8.5043928809999993"/>
    <s v="CO2-Abscheidung [Mt/a]"/>
    <n v="0.18801528300000001"/>
    <n v="0.18801528300000001"/>
    <n v="0.16451337299999999"/>
    <n v="0.17833802600000001"/>
    <n v="0.16313090699999999"/>
    <n v="0.149306254"/>
    <n v="0.149306254"/>
    <m/>
  </r>
  <r>
    <x v="0"/>
    <s v="DE"/>
    <s v="process_emissions"/>
    <s v="Industry"/>
    <x v="10"/>
    <s v="Soest"/>
    <x v="0"/>
    <s v="CO2 capture"/>
    <m/>
    <n v="51.597210140000001"/>
    <n v="8.3346819449999998"/>
    <s v="CO2-Abscheidung [Mt/a]"/>
    <n v="0.28201554299999998"/>
    <n v="0.28201554299999998"/>
    <n v="0.2467636"/>
    <n v="0.26750003700000002"/>
    <n v="0.24468995599999999"/>
    <n v="0.22395351899999999"/>
    <n v="0.22395351899999999"/>
    <m/>
  </r>
  <r>
    <x v="0"/>
    <s v="DE"/>
    <s v="process_emissions"/>
    <s v="Industry"/>
    <x v="10"/>
    <s v="Soest"/>
    <x v="0"/>
    <s v="CO2 capture"/>
    <m/>
    <n v="51.594684739999998"/>
    <n v="8.3349065200000005"/>
    <s v="CO2-Abscheidung [Mt/a]"/>
    <n v="0.41794125100000001"/>
    <n v="0.41794125100000001"/>
    <n v="0.36569859500000002"/>
    <n v="0.39642956899999998"/>
    <n v="0.36262549799999999"/>
    <n v="0.331894523"/>
    <n v="0.331894523"/>
    <m/>
  </r>
  <r>
    <x v="0"/>
    <s v="DE"/>
    <s v="process_emissions"/>
    <s v="Industry"/>
    <x v="10"/>
    <s v="Soest"/>
    <x v="0"/>
    <s v="CO2 capture"/>
    <m/>
    <n v="51.601120729999998"/>
    <n v="8.3361264300000002"/>
    <s v="CO2-Abscheidung [Mt/a]"/>
    <n v="0.52548137500000003"/>
    <n v="0.52548137500000003"/>
    <n v="0.45979620300000001"/>
    <n v="0.49843453999999998"/>
    <n v="0.45593236999999998"/>
    <n v="0.41729403300000001"/>
    <n v="0.41729403300000001"/>
    <m/>
  </r>
  <r>
    <x v="0"/>
    <s v="DE"/>
    <s v="process_emissions"/>
    <s v="Industry"/>
    <x v="11"/>
    <s v="Wiesbaden, Kreisfreie Stadt"/>
    <x v="0"/>
    <s v="CO2 capture"/>
    <m/>
    <n v="50.031909560000003"/>
    <n v="8.2570017539999991"/>
    <s v="CO2-Abscheidung [Mt/a]"/>
    <n v="0.12881325699999999"/>
    <n v="0.12881325699999999"/>
    <n v="0.1127116"/>
    <n v="0.122183163"/>
    <n v="0.111764443"/>
    <n v="0.10229288"/>
    <n v="0.10229288"/>
    <m/>
  </r>
  <r>
    <x v="0"/>
    <s v="DE"/>
    <s v="process_emissions"/>
    <s v="Industry"/>
    <x v="12"/>
    <s v="Fulda"/>
    <x v="0"/>
    <s v="CO2 capture"/>
    <m/>
    <n v="50.584524440000003"/>
    <n v="9.5095189270000002"/>
    <s v="CO2-Abscheidung [Mt/a]"/>
    <n v="0.104529789"/>
    <n v="0.104529789"/>
    <n v="9.1463564999999997E-2"/>
    <n v="9.9149579000000002E-2"/>
    <n v="9.0694964000000003E-2"/>
    <n v="8.3008949999999998E-2"/>
    <n v="8.3008949999999998E-2"/>
    <m/>
  </r>
  <r>
    <x v="0"/>
    <s v="DE"/>
    <s v="process_emissions"/>
    <s v="Industry"/>
    <x v="13"/>
    <s v="Vulkaneifel"/>
    <x v="0"/>
    <s v="CO2 capture"/>
    <m/>
    <n v="50.333990059999998"/>
    <n v="6.7668281370000001"/>
    <s v="CO2-Abscheidung [Mt/a]"/>
    <n v="0.13159180100000001"/>
    <n v="0.13159180100000001"/>
    <n v="0.115142825"/>
    <n v="0.12481869299999999"/>
    <n v="0.114175239"/>
    <n v="0.10449937099999999"/>
    <n v="0.10449937099999999"/>
    <m/>
  </r>
  <r>
    <x v="0"/>
    <s v="DE"/>
    <s v="process_emissions"/>
    <s v="Industry"/>
    <x v="14"/>
    <s v="Donnersbergkreis"/>
    <x v="0"/>
    <s v="CO2 capture"/>
    <m/>
    <n v="49.601018850000003"/>
    <n v="8.0413779420000004"/>
    <s v="CO2-Abscheidung [Mt/a]"/>
    <n v="0.52443019400000002"/>
    <n v="0.52443019400000002"/>
    <n v="0.45887642000000001"/>
    <n v="0.49743746300000002"/>
    <n v="0.45502031500000001"/>
    <n v="0.41645927199999999"/>
    <n v="0.41645927199999999"/>
    <m/>
  </r>
  <r>
    <x v="0"/>
    <s v="DE"/>
    <s v="process_emissions"/>
    <s v="Industry"/>
    <x v="15"/>
    <s v="Rosenheim, Landkreis"/>
    <x v="0"/>
    <s v="CO2 capture"/>
    <m/>
    <n v="47.790819620000001"/>
    <n v="12.18159007"/>
    <s v="CO2-Abscheidung [Mt/a]"/>
    <n v="0.56116026799999996"/>
    <n v="0.56116026799999996"/>
    <n v="0.49101523499999999"/>
    <n v="0.53227701900000002"/>
    <n v="0.48688905599999999"/>
    <n v="0.44562727200000002"/>
    <n v="0.44562727200000002"/>
    <m/>
  </r>
  <r>
    <x v="0"/>
    <s v="DE"/>
    <s v="process_emissions"/>
    <s v="Industry"/>
    <x v="16"/>
    <s v="Schwandorf"/>
    <x v="0"/>
    <s v="CO2 capture"/>
    <m/>
    <n v="49.21283244"/>
    <n v="12.028256949999999"/>
    <s v="CO2-Abscheidung [Mt/a]"/>
    <n v="0.65150501599999999"/>
    <n v="0.65150501599999999"/>
    <n v="0.57006688900000002"/>
    <n v="0.617971669"/>
    <n v="0.56527641100000003"/>
    <n v="0.51737162999999997"/>
    <n v="0.51737162999999997"/>
    <m/>
  </r>
  <r>
    <x v="0"/>
    <s v="DE"/>
    <s v="process_emissions"/>
    <s v="Industry"/>
    <x v="17"/>
    <s v="WeiÃŸenburg-Gunzenhausen"/>
    <x v="0"/>
    <s v="CO2 capture"/>
    <m/>
    <n v="48.884912460000002"/>
    <n v="10.99769729"/>
    <s v="CO2-Abscheidung [Mt/a]"/>
    <n v="0.225386106"/>
    <n v="0.225386106"/>
    <n v="0.197212842"/>
    <n v="0.21378535000000001"/>
    <n v="0.195555592"/>
    <n v="0.17898308399999999"/>
    <n v="0.17898308399999999"/>
    <m/>
  </r>
  <r>
    <x v="0"/>
    <s v="DE"/>
    <s v="process_emissions"/>
    <s v="Industry"/>
    <x v="18"/>
    <s v="Main-Spessart"/>
    <x v="0"/>
    <s v="CO2 capture"/>
    <m/>
    <n v="49.808461000000001"/>
    <n v="9.6178912790000002"/>
    <s v="CO2-Abscheidung [Mt/a]"/>
    <n v="0.470449379"/>
    <n v="0.470449379"/>
    <n v="0.41164320700000001"/>
    <n v="0.44623507299999998"/>
    <n v="0.40818401999999998"/>
    <n v="0.37359215400000001"/>
    <n v="0.37359215400000001"/>
    <m/>
  </r>
  <r>
    <x v="0"/>
    <s v="DE"/>
    <s v="process_emissions"/>
    <s v="Industry"/>
    <x v="18"/>
    <s v="Main-Spessart"/>
    <x v="0"/>
    <s v="CO2 capture"/>
    <m/>
    <n v="49.955004879999997"/>
    <n v="9.7685104519999992"/>
    <s v="CO2-Abscheidung [Mt/a]"/>
    <n v="0.42839917599999999"/>
    <n v="0.42839917599999999"/>
    <n v="0.37484927899999998"/>
    <n v="0.40634921899999998"/>
    <n v="0.37169928499999999"/>
    <n v="0.34019934600000001"/>
    <n v="0.34019934600000001"/>
    <m/>
  </r>
  <r>
    <x v="0"/>
    <s v="DE"/>
    <s v="process_emissions"/>
    <s v="Industry"/>
    <x v="19"/>
    <s v="Donau-Ries"/>
    <x v="0"/>
    <s v="CO2 capture"/>
    <m/>
    <n v="48.776732469999999"/>
    <n v="10.70031679"/>
    <s v="CO2-Abscheidung [Mt/a]"/>
    <n v="0.44225867600000002"/>
    <n v="0.44225867600000002"/>
    <n v="0.38697634199999997"/>
    <n v="0.41949536199999998"/>
    <n v="0.38372444"/>
    <n v="0.35120541900000002"/>
    <n v="0.35120541900000002"/>
    <m/>
  </r>
  <r>
    <x v="0"/>
    <s v="DE"/>
    <s v="process_emissions"/>
    <s v="Industry"/>
    <x v="20"/>
    <s v="MÃ¤rkisch-Oderland"/>
    <x v="0"/>
    <s v="CO2 capture"/>
    <m/>
    <n v="52.489069260000001"/>
    <n v="13.836929169999999"/>
    <s v="CO2-Abscheidung [Mt/a]"/>
    <n v="0.96694575999999999"/>
    <n v="0.96694575999999999"/>
    <n v="0.84607754000000002"/>
    <n v="0.91717649300000004"/>
    <n v="0.83896764499999998"/>
    <n v="0.76786869199999996"/>
    <n v="0.76786869199999996"/>
    <m/>
  </r>
  <r>
    <x v="0"/>
    <s v="DE"/>
    <s v="process_emissions"/>
    <s v="Industry"/>
    <x v="21"/>
    <s v="Salzlandkreis"/>
    <x v="0"/>
    <s v="CO2 capture"/>
    <m/>
    <n v="51.816375209999997"/>
    <n v="11.7496466"/>
    <s v="CO2-Abscheidung [Mt/a]"/>
    <n v="0.50412187399999997"/>
    <n v="0.50412187399999997"/>
    <n v="0.44110663999999999"/>
    <n v="0.47817442500000001"/>
    <n v="0.437399861"/>
    <n v="0.40033207599999998"/>
    <n v="0.40033207599999998"/>
    <m/>
  </r>
  <r>
    <x v="0"/>
    <s v="DE"/>
    <s v="process_emissions"/>
    <s v="Industry"/>
    <x v="22"/>
    <s v="Burgenlandkreis"/>
    <x v="0"/>
    <s v="CO2 capture"/>
    <m/>
    <n v="51.271111779999998"/>
    <n v="11.654702629999999"/>
    <s v="CO2-Abscheidung [Mt/a]"/>
    <n v="0.69072057200000003"/>
    <n v="0.69072057200000003"/>
    <n v="0.60438050099999996"/>
    <n v="0.65516877799999995"/>
    <n v="0.59930167300000003"/>
    <n v="0.54851339600000004"/>
    <n v="0.54851339600000004"/>
    <m/>
  </r>
  <r>
    <x v="0"/>
    <s v="DE"/>
    <s v="process_emissions"/>
    <s v="Industry"/>
    <x v="23"/>
    <s v="Eichsfeld"/>
    <x v="0"/>
    <s v="CO2 capture"/>
    <m/>
    <n v="51.362759730000001"/>
    <n v="10.483568269999999"/>
    <s v="CO2-Abscheidung [Mt/a]"/>
    <n v="0.78788028099999996"/>
    <n v="0.78788028099999996"/>
    <n v="0.68939524600000002"/>
    <n v="0.74732761999999997"/>
    <n v="0.68360200900000001"/>
    <n v="0.62566963499999995"/>
    <n v="0.62566963499999995"/>
    <m/>
  </r>
  <r>
    <x v="0"/>
    <s v="DE"/>
    <s v="process_emissions"/>
    <s v="Industry"/>
    <x v="7"/>
    <s v="Warendorf"/>
    <x v="0"/>
    <s v="CO2 capture"/>
    <m/>
    <n v="51.760245959999999"/>
    <n v="8.0731712420000008"/>
    <s v="CO2-Abscheidung [Mt/a]"/>
    <n v="0.213463614"/>
    <n v="0.213463614"/>
    <n v="0.18678066199999999"/>
    <n v="0.202476516"/>
    <n v="0.185211076"/>
    <n v="0.16951522299999999"/>
    <n v="0.16951522299999999"/>
    <m/>
  </r>
  <r>
    <x v="0"/>
    <s v="DE"/>
    <s v="process_emissions"/>
    <s v="Industry"/>
    <x v="12"/>
    <s v="Fulda"/>
    <x v="1"/>
    <s v="CO2 capture"/>
    <m/>
    <n v="50.584319999999998"/>
    <n v="9.5092449999999999"/>
    <s v="CO2-Abscheidung [Mt/a]"/>
    <n v="3.3370271E-2"/>
    <n v="2.5954655E-2"/>
    <n v="3.1145585999999999E-2"/>
    <n v="2.5954655E-2"/>
    <n v="2.3729970999999999E-2"/>
    <n v="2.2246847E-2"/>
    <n v="2.2246847E-2"/>
    <m/>
  </r>
  <r>
    <x v="0"/>
    <s v="DE"/>
    <s v="process_emissions"/>
    <s v="Industry"/>
    <x v="24"/>
    <s v="Greiz"/>
    <x v="1"/>
    <s v="CO2 capture"/>
    <m/>
    <n v="50.808852000000002"/>
    <n v="12.09295"/>
    <s v="CO2-Abscheidung [Mt/a]"/>
    <n v="5.3444485999999999E-2"/>
    <n v="4.1567934000000001E-2"/>
    <n v="4.9881519999999999E-2"/>
    <n v="4.1567934000000001E-2"/>
    <n v="3.8004968E-2"/>
    <n v="3.5629657000000002E-2"/>
    <n v="3.5629657000000002E-2"/>
    <m/>
  </r>
  <r>
    <x v="0"/>
    <s v="DE"/>
    <s v="process_emissions"/>
    <s v="Industry"/>
    <x v="25"/>
    <s v="Northeim"/>
    <x v="1"/>
    <s v="CO2 capture"/>
    <m/>
    <n v="51.647706999999997"/>
    <n v="10.087452000000001"/>
    <s v="CO2-Abscheidung [Mt/a]"/>
    <n v="2.4607026000000001E-2"/>
    <n v="1.9138797999999999E-2"/>
    <n v="2.2966558000000001E-2"/>
    <n v="1.9138797999999999E-2"/>
    <n v="1.7498329999999999E-2"/>
    <n v="1.6404683999999999E-2"/>
    <n v="1.6404683999999999E-2"/>
    <m/>
  </r>
  <r>
    <x v="0"/>
    <s v="DE"/>
    <s v="process_emissions"/>
    <s v="Industry"/>
    <x v="20"/>
    <s v="MÃ¤rkisch-Oderland"/>
    <x v="1"/>
    <s v="CO2 capture"/>
    <m/>
    <n v="52.490088"/>
    <n v="13.838051"/>
    <s v="CO2-Abscheidung [Mt/a]"/>
    <n v="9.4549258999999997E-2"/>
    <n v="7.3538312999999994E-2"/>
    <n v="8.8245976000000004E-2"/>
    <n v="7.3538312999999994E-2"/>
    <n v="6.7235029000000002E-2"/>
    <n v="6.3032840000000007E-2"/>
    <n v="6.3032840000000007E-2"/>
    <m/>
  </r>
  <r>
    <x v="0"/>
    <s v="DE"/>
    <s v="process_emissions"/>
    <s v="Industry"/>
    <x v="26"/>
    <s v="Goslar"/>
    <x v="1"/>
    <s v="CO2 capture"/>
    <m/>
    <n v="51.844586"/>
    <n v="10.18979"/>
    <s v="CO2-Abscheidung [Mt/a]"/>
    <n v="0.153462079"/>
    <n v="0.11935939499999999"/>
    <n v="0.14323127399999999"/>
    <n v="0.11935939499999999"/>
    <n v="0.109128589"/>
    <n v="0.102308053"/>
    <n v="0.102308053"/>
    <m/>
  </r>
  <r>
    <x v="0"/>
    <s v="DE"/>
    <s v="process_emissions"/>
    <s v="Industry"/>
    <x v="27"/>
    <s v="Kelheim"/>
    <x v="1"/>
    <s v="CO2 capture"/>
    <m/>
    <n v="48.890949999999997"/>
    <n v="11.932119999999999"/>
    <s v="CO2-Abscheidung [Mt/a]"/>
    <n v="0.14012201499999999"/>
    <n v="0.108983789"/>
    <n v="0.130780547"/>
    <n v="0.108983789"/>
    <n v="9.9642322000000005E-2"/>
    <n v="9.3414677000000002E-2"/>
    <n v="9.3414677000000002E-2"/>
    <m/>
  </r>
  <r>
    <x v="0"/>
    <s v="DE"/>
    <s v="process_emissions"/>
    <s v="Industry"/>
    <x v="28"/>
    <s v="Wuppertal, Kreisfreie Stadt"/>
    <x v="1"/>
    <s v="CO2 capture"/>
    <m/>
    <n v="51.247683000000002"/>
    <n v="7.0445830000000003"/>
    <s v="CO2-Abscheidung [Mt/a]"/>
    <n v="0.11501481299999999"/>
    <n v="8.9455965999999998E-2"/>
    <n v="0.107347159"/>
    <n v="8.9455965999999998E-2"/>
    <n v="8.1788312000000002E-2"/>
    <n v="7.6676542E-2"/>
    <n v="7.6676542E-2"/>
    <m/>
  </r>
  <r>
    <x v="0"/>
    <s v="DE"/>
    <s v="process_emissions"/>
    <s v="Industry"/>
    <x v="29"/>
    <s v="Harz"/>
    <x v="1"/>
    <s v="CO2 capture"/>
    <m/>
    <n v="51.755471"/>
    <n v="10.825817000000001"/>
    <s v="CO2-Abscheidung [Mt/a]"/>
    <n v="0.388301813"/>
    <n v="0.30201252200000001"/>
    <n v="0.36241502599999997"/>
    <n v="0.30201252200000001"/>
    <n v="0.27612573400000001"/>
    <n v="0.258867876"/>
    <n v="0.258867876"/>
    <m/>
  </r>
  <r>
    <x v="0"/>
    <s v="DE"/>
    <s v="process_emissions"/>
    <s v="Industry"/>
    <x v="30"/>
    <s v="LÃ¶rrach"/>
    <x v="1"/>
    <s v="CO2 capture"/>
    <m/>
    <n v="47.658802999999999"/>
    <n v="7.5460190000000003"/>
    <s v="CO2-Abscheidung [Mt/a]"/>
    <n v="8.5133941000000005E-2"/>
    <n v="6.6215286999999998E-2"/>
    <n v="7.9458345E-2"/>
    <n v="6.6215286999999998E-2"/>
    <n v="6.0539691E-2"/>
    <n v="5.6755960000000001E-2"/>
    <n v="5.6755960000000001E-2"/>
    <m/>
  </r>
  <r>
    <x v="0"/>
    <s v="DE"/>
    <s v="process_emissions"/>
    <s v="Industry"/>
    <x v="27"/>
    <s v="Kelheim"/>
    <x v="1"/>
    <s v="CO2 capture"/>
    <m/>
    <n v="49.008715000000002"/>
    <n v="11.824687000000001"/>
    <s v="CO2-Abscheidung [Mt/a]"/>
    <n v="0.14012201499999999"/>
    <n v="0.108983789"/>
    <n v="0.130780547"/>
    <n v="0.108983789"/>
    <n v="9.9642322000000005E-2"/>
    <n v="9.3414677000000002E-2"/>
    <n v="9.3414677000000002E-2"/>
    <m/>
  </r>
  <r>
    <x v="0"/>
    <s v="DE"/>
    <s v="process_emissions"/>
    <s v="Industry"/>
    <x v="31"/>
    <s v="Olpe"/>
    <x v="1"/>
    <s v="CO2 capture"/>
    <m/>
    <n v="51.140329999999999"/>
    <n v="8.025404"/>
    <s v="CO2-Abscheidung [Mt/a]"/>
    <n v="2.4596616000000002E-2"/>
    <n v="1.9130701E-2"/>
    <n v="2.2956840999999999E-2"/>
    <n v="1.9130701E-2"/>
    <n v="1.7490927E-2"/>
    <n v="1.6397743999999999E-2"/>
    <n v="1.6397743999999999E-2"/>
    <m/>
  </r>
  <r>
    <x v="0"/>
    <s v="DE"/>
    <s v="process_emissions"/>
    <s v="Industry"/>
    <x v="32"/>
    <s v="Limburg-Weilburg"/>
    <x v="1"/>
    <s v="CO2 capture"/>
    <m/>
    <n v="50.419099000000003"/>
    <n v="8.1118000000000006"/>
    <s v="CO2-Abscheidung [Mt/a]"/>
    <n v="0.13685265599999999"/>
    <n v="0.106440954"/>
    <n v="0.12772914499999999"/>
    <n v="0.106440954"/>
    <n v="9.7317444000000003E-2"/>
    <n v="9.1235103999999997E-2"/>
    <n v="9.1235103999999997E-2"/>
    <m/>
  </r>
  <r>
    <x v="0"/>
    <s v="DE"/>
    <s v="process_emissions"/>
    <s v="Industry"/>
    <x v="33"/>
    <s v="Rhein-Lahn-Kreis"/>
    <x v="1"/>
    <s v="CO2 capture"/>
    <m/>
    <n v="50.317605"/>
    <n v="8.0657010000000007"/>
    <s v="CO2-Abscheidung [Mt/a]"/>
    <n v="0.14754278300000001"/>
    <n v="0.114755498"/>
    <n v="0.13770659800000001"/>
    <n v="0.114755498"/>
    <n v="0.104919313"/>
    <n v="9.8361855999999998E-2"/>
    <n v="9.8361855999999998E-2"/>
    <m/>
  </r>
  <r>
    <x v="0"/>
    <s v="DE"/>
    <s v="process_emissions"/>
    <s v="Industry"/>
    <x v="10"/>
    <s v="Soest"/>
    <x v="1"/>
    <s v="CO2 capture"/>
    <m/>
    <n v="51.436858999999998"/>
    <n v="8.3738720000000004"/>
    <s v="CO2-Abscheidung [Mt/a]"/>
    <n v="6.9950278000000005E-2"/>
    <n v="5.4405771999999998E-2"/>
    <n v="6.5286925999999995E-2"/>
    <n v="5.4405771999999998E-2"/>
    <n v="4.9742420000000002E-2"/>
    <n v="4.6633518999999998E-2"/>
    <n v="4.6633518999999998E-2"/>
    <m/>
  </r>
  <r>
    <x v="0"/>
    <s v="DE"/>
    <s v="process_emissions"/>
    <s v="Industry"/>
    <x v="34"/>
    <s v="Regensburg, Kreisfreie Stadt"/>
    <x v="1"/>
    <s v="CO2 capture"/>
    <m/>
    <n v="49.029909000000004"/>
    <n v="12.1388"/>
    <s v="CO2-Abscheidung [Mt/a]"/>
    <n v="7.8780244999999999E-2"/>
    <n v="6.1273524000000003E-2"/>
    <n v="7.3528228000000001E-2"/>
    <n v="6.1273524000000003E-2"/>
    <n v="5.6021506999999998E-2"/>
    <n v="5.2520163000000002E-2"/>
    <n v="5.2520163000000002E-2"/>
    <m/>
  </r>
  <r>
    <x v="0"/>
    <s v="DE"/>
    <s v="process_emissions"/>
    <s v="Industry"/>
    <x v="13"/>
    <s v="Vulkaneifel"/>
    <x v="1"/>
    <s v="CO2 capture"/>
    <m/>
    <n v="50.334173999999997"/>
    <n v="6.7668109999999997"/>
    <s v="CO2-Abscheidung [Mt/a]"/>
    <n v="2.570391E-2"/>
    <n v="1.9991930000000002E-2"/>
    <n v="2.3990316000000001E-2"/>
    <n v="1.9991930000000002E-2"/>
    <n v="1.8278335999999999E-2"/>
    <n v="1.7135939999999999E-2"/>
    <n v="1.7135939999999999E-2"/>
    <m/>
  </r>
  <r>
    <x v="0"/>
    <s v="DE"/>
    <s v="process_emissions"/>
    <s v="Industry"/>
    <x v="35"/>
    <s v="GÃ¼tersloh"/>
    <x v="1"/>
    <s v="CO2 capture"/>
    <m/>
    <n v="52.040866999999999"/>
    <n v="8.3994090000000003"/>
    <s v="CO2-Abscheidung [Mt/a]"/>
    <n v="4.4982670000000002E-3"/>
    <n v="3.4986520000000001E-3"/>
    <n v="4.198383E-3"/>
    <n v="3.4986520000000001E-3"/>
    <n v="3.1987679999999998E-3"/>
    <n v="2.998845E-3"/>
    <n v="2.998845E-3"/>
    <m/>
  </r>
  <r>
    <x v="0"/>
    <s v="DE"/>
    <s v="process_emissions"/>
    <s v="Industry"/>
    <x v="13"/>
    <s v="Vulkaneifel"/>
    <x v="1"/>
    <s v="CO2 capture"/>
    <m/>
    <n v="50.230564000000001"/>
    <n v="6.6829239999999999"/>
    <s v="CO2-Abscheidung [Mt/a]"/>
    <n v="1.29658E-4"/>
    <n v="1.00845E-4"/>
    <n v="1.21014E-4"/>
    <n v="1.00845E-4"/>
    <n v="9.2200000000000005E-5"/>
    <n v="8.6399999999999999E-5"/>
    <n v="8.6399999999999999E-5"/>
    <m/>
  </r>
  <r>
    <x v="0"/>
    <s v="DE"/>
    <s v="process_emissions"/>
    <s v="Industry"/>
    <x v="36"/>
    <s v="Mettmann"/>
    <x v="1"/>
    <s v="CO2 capture"/>
    <m/>
    <n v="51.296801000000002"/>
    <n v="7.0149359999999996"/>
    <s v="CO2-Abscheidung [Mt/a]"/>
    <n v="0.91869605899999995"/>
    <n v="0.71454137900000003"/>
    <n v="0.85744965500000003"/>
    <n v="0.71454137900000003"/>
    <n v="0.653294975"/>
    <n v="0.61246403900000002"/>
    <n v="0.61246403900000002"/>
    <m/>
  </r>
  <r>
    <x v="0"/>
    <s v="DE"/>
    <s v="process_emissions"/>
    <s v="Industry"/>
    <x v="37"/>
    <s v="Hochsauerlandkreis"/>
    <x v="1"/>
    <s v="CO2 capture"/>
    <m/>
    <n v="51.394948999999997"/>
    <n v="8.6849950000000007"/>
    <s v="CO2-Abscheidung [Mt/a]"/>
    <n v="3.2763151999999997E-2"/>
    <n v="2.5482451E-2"/>
    <n v="3.0578942000000001E-2"/>
    <n v="2.5482451E-2"/>
    <n v="2.3298241000000001E-2"/>
    <n v="2.1842100999999999E-2"/>
    <n v="2.1842100999999999E-2"/>
    <m/>
  </r>
  <r>
    <x v="0"/>
    <s v="DE"/>
    <s v="process_emissions"/>
    <s v="Industry"/>
    <x v="38"/>
    <s v="MÃ¤rkischer Kreis"/>
    <x v="1"/>
    <s v="CO2 capture"/>
    <m/>
    <n v="51.397084999999997"/>
    <n v="7.8406979999999997"/>
    <s v="CO2-Abscheidung [Mt/a]"/>
    <n v="0.39661315000000003"/>
    <n v="0.308476894"/>
    <n v="0.370172273"/>
    <n v="0.308476894"/>
    <n v="0.282036018"/>
    <n v="0.26440876699999999"/>
    <n v="0.26440876699999999"/>
    <m/>
  </r>
  <r>
    <x v="0"/>
    <s v="DE"/>
    <s v="process_emissions"/>
    <s v="Industry"/>
    <x v="39"/>
    <s v="Hameln-Pyrmont"/>
    <x v="1"/>
    <s v="CO2 capture"/>
    <m/>
    <n v="52.059196999999998"/>
    <n v="9.5886659999999999"/>
    <s v="CO2-Abscheidung [Mt/a]"/>
    <n v="4.9156319999999996E-3"/>
    <n v="3.8232689999999998E-3"/>
    <n v="4.5879229999999998E-3"/>
    <n v="3.8232689999999998E-3"/>
    <n v="3.4955609999999999E-3"/>
    <n v="3.277088E-3"/>
    <n v="3.277088E-3"/>
    <m/>
  </r>
  <r>
    <x v="0"/>
    <s v="DE"/>
    <s v="process_emissions"/>
    <s v="Industry"/>
    <x v="8"/>
    <s v="Steinfurt"/>
    <x v="1"/>
    <s v="CO2 capture"/>
    <m/>
    <n v="52.264046999999998"/>
    <n v="7.3968769999999999"/>
    <s v="CO2-Abscheidung [Mt/a]"/>
    <n v="1.1933704999999999E-2"/>
    <n v="9.28177E-3"/>
    <n v="1.1138125E-2"/>
    <n v="9.28177E-3"/>
    <n v="8.4861899999999994E-3"/>
    <n v="7.9558029999999991E-3"/>
    <n v="7.9558029999999991E-3"/>
    <m/>
  </r>
  <r>
    <x v="0"/>
    <s v="DE"/>
    <s v="process_emissions"/>
    <s v="Industry"/>
    <x v="19"/>
    <s v="Donau-Ries"/>
    <x v="1"/>
    <s v="CO2 capture"/>
    <m/>
    <n v="48.775784999999999"/>
    <n v="10.699441999999999"/>
    <s v="CO2-Abscheidung [Mt/a]"/>
    <n v="7.941339E-2"/>
    <n v="6.1765970000000003E-2"/>
    <n v="7.4119164000000001E-2"/>
    <n v="6.1765970000000003E-2"/>
    <n v="5.6471743999999997E-2"/>
    <n v="5.2942259999999998E-2"/>
    <n v="5.2942259999999998E-2"/>
    <m/>
  </r>
  <r>
    <x v="0"/>
    <s v="DE"/>
    <s v="process_emissions"/>
    <s v="Industry"/>
    <x v="8"/>
    <s v="Steinfurt"/>
    <x v="1"/>
    <s v="CO2 capture"/>
    <m/>
    <n v="52.162646000000002"/>
    <n v="7.968648"/>
    <s v="CO2-Abscheidung [Mt/a]"/>
    <n v="7.2120859999999995E-2"/>
    <n v="5.6094001999999997E-2"/>
    <n v="6.7312802000000005E-2"/>
    <n v="5.6094001999999997E-2"/>
    <n v="5.1285944999999999E-2"/>
    <n v="4.8080573000000001E-2"/>
    <n v="4.8080573000000001E-2"/>
    <m/>
  </r>
  <r>
    <x v="0"/>
    <s v="DE"/>
    <s v="process_emissions"/>
    <s v="Industry"/>
    <x v="40"/>
    <s v="Kulmbach"/>
    <x v="1"/>
    <s v="CO2 capture"/>
    <m/>
    <n v="50.027914000000003"/>
    <n v="11.308923"/>
    <s v="CO2-Abscheidung [Mt/a]"/>
    <n v="1.658103E-3"/>
    <n v="1.289636E-3"/>
    <n v="1.5475630000000001E-3"/>
    <n v="1.289636E-3"/>
    <n v="1.1790959999999999E-3"/>
    <n v="1.1054019999999999E-3"/>
    <n v="1.1054019999999999E-3"/>
    <m/>
  </r>
  <r>
    <x v="0"/>
    <s v="DE"/>
    <s v="process_emissions"/>
    <s v="Industry"/>
    <x v="41"/>
    <s v="Hildesheim"/>
    <x v="1"/>
    <s v="CO2 capture"/>
    <m/>
    <n v="52.170476999999998"/>
    <n v="9.7933900000000005"/>
    <s v="CO2-Abscheidung [Mt/a]"/>
    <n v="6.3428595000000004E-2"/>
    <n v="4.9333351999999997E-2"/>
    <n v="5.9200021999999998E-2"/>
    <n v="4.9333351999999997E-2"/>
    <n v="4.5104778999999998E-2"/>
    <n v="4.2285730000000001E-2"/>
    <n v="4.2285730000000001E-2"/>
    <m/>
  </r>
  <r>
    <x v="0"/>
    <s v="DE"/>
    <s v="process_emissions"/>
    <s v="Industry"/>
    <x v="42"/>
    <s v="WolfenbÃ¼ttel"/>
    <x v="1"/>
    <s v="CO2 capture"/>
    <m/>
    <n v="52.023237000000002"/>
    <n v="10.545916999999999"/>
    <s v="CO2-Abscheidung [Mt/a]"/>
    <n v="3.1327926999999998E-2"/>
    <n v="2.4366166000000002E-2"/>
    <n v="2.9239398999999999E-2"/>
    <n v="2.4366166000000002E-2"/>
    <n v="2.2277636999999999E-2"/>
    <n v="2.0885285E-2"/>
    <n v="2.0885285E-2"/>
    <m/>
  </r>
  <r>
    <x v="0"/>
    <s v="DE"/>
    <s v="process_emissions"/>
    <s v="Industry"/>
    <x v="43"/>
    <s v="BÃ¶rde"/>
    <x v="1"/>
    <s v="CO2 capture"/>
    <m/>
    <n v="52.071129999999997"/>
    <n v="11.385047999999999"/>
    <s v="CO2-Abscheidung [Mt/a]"/>
    <n v="5.1052445000000002E-2"/>
    <n v="3.9707458000000001E-2"/>
    <n v="4.7648949000000003E-2"/>
    <n v="3.9707458000000001E-2"/>
    <n v="3.6303961000000003E-2"/>
    <n v="3.4034964000000001E-2"/>
    <n v="3.4034964000000001E-2"/>
    <m/>
  </r>
  <r>
    <x v="0"/>
    <s v="DE"/>
    <s v="process_emissions"/>
    <s v="Industry"/>
    <x v="44"/>
    <s v="Uelzen"/>
    <x v="1"/>
    <s v="CO2 capture"/>
    <m/>
    <n v="52.977111999999998"/>
    <n v="10.558517999999999"/>
    <s v="CO2-Abscheidung [Mt/a]"/>
    <n v="7.6179047999999999E-2"/>
    <n v="5.9250371000000003E-2"/>
    <n v="7.1100444999999998E-2"/>
    <n v="5.9250371000000003E-2"/>
    <n v="5.4171768000000002E-2"/>
    <n v="5.0786032000000002E-2"/>
    <n v="5.0786032000000002E-2"/>
    <m/>
  </r>
  <r>
    <x v="0"/>
    <s v="DE"/>
    <s v="process_emissions"/>
    <s v="Industry"/>
    <x v="45"/>
    <s v="Peine"/>
    <x v="1"/>
    <s v="CO2 capture"/>
    <m/>
    <n v="52.233195000000002"/>
    <n v="10.034605000000001"/>
    <s v="CO2-Abscheidung [Mt/a]"/>
    <n v="2.7071466999999998E-2"/>
    <n v="2.1055585000000002E-2"/>
    <n v="2.5266701999999999E-2"/>
    <n v="2.1055585000000002E-2"/>
    <n v="1.9250821000000001E-2"/>
    <n v="1.8047645000000001E-2"/>
    <n v="1.8047645000000001E-2"/>
    <m/>
  </r>
  <r>
    <x v="0"/>
    <s v="DE"/>
    <s v="process_emissions"/>
    <s v="Industry"/>
    <x v="46"/>
    <s v="Werra-MeiÃŸner-Kreis"/>
    <x v="1"/>
    <s v="CO2 capture"/>
    <m/>
    <n v="51.205803000000003"/>
    <n v="9.9074449999999992"/>
    <s v="CO2-Abscheidung [Mt/a]"/>
    <n v="2.3620398000000001E-2"/>
    <n v="1.8371420999999999E-2"/>
    <n v="2.2045704999999999E-2"/>
    <n v="1.8371420999999999E-2"/>
    <n v="1.6796727000000001E-2"/>
    <n v="1.5746932000000002E-2"/>
    <n v="1.5746932000000002E-2"/>
    <m/>
  </r>
  <r>
    <x v="0"/>
    <s v="DE"/>
    <s v="process_emissions"/>
    <s v="Industry"/>
    <x v="3"/>
    <s v="Alb-Donau-Kreis"/>
    <x v="1"/>
    <s v="CO2 capture"/>
    <m/>
    <n v="48.423419000000003"/>
    <n v="9.9041779999999999"/>
    <s v="CO2-Abscheidung [Mt/a]"/>
    <n v="7.0400294000000002E-2"/>
    <n v="5.4755784000000002E-2"/>
    <n v="6.5706941000000005E-2"/>
    <n v="5.4755784000000002E-2"/>
    <n v="5.0062430999999998E-2"/>
    <n v="4.6933529000000002E-2"/>
    <n v="4.6933529000000002E-2"/>
    <m/>
  </r>
  <r>
    <x v="0"/>
    <s v="DE"/>
    <s v="process_emissions"/>
    <s v="Industry"/>
    <x v="47"/>
    <s v="Neumarkt i. d. OPf."/>
    <x v="1"/>
    <s v="CO2 capture"/>
    <m/>
    <n v="49.364916000000001"/>
    <n v="11.604835"/>
    <s v="CO2-Abscheidung [Mt/a]"/>
    <n v="2.4093127999999998E-2"/>
    <n v="1.8739098999999999E-2"/>
    <n v="2.2486919000000001E-2"/>
    <n v="1.8739098999999999E-2"/>
    <n v="1.7132891000000001E-2"/>
    <n v="1.6062085E-2"/>
    <n v="1.6062085E-2"/>
    <m/>
  </r>
  <r>
    <x v="0"/>
    <s v="DE"/>
    <s v="process_emissions"/>
    <s v="Industry"/>
    <x v="48"/>
    <s v="DÃ¼ren"/>
    <x v="1"/>
    <s v="CO2 capture"/>
    <m/>
    <n v="50.915255000000002"/>
    <n v="6.3715789999999997"/>
    <s v="CO2-Abscheidung [Mt/a]"/>
    <n v="8.5499725999999998E-2"/>
    <n v="6.6499787000000005E-2"/>
    <n v="7.9799745000000005E-2"/>
    <n v="6.6499787000000005E-2"/>
    <n v="6.0799805999999998E-2"/>
    <n v="5.6999818000000001E-2"/>
    <n v="5.6999818000000001E-2"/>
    <m/>
  </r>
  <r>
    <x v="0"/>
    <s v="DE"/>
    <s v="process_emissions"/>
    <s v="Industry"/>
    <x v="49"/>
    <s v="Euskirchen"/>
    <x v="1"/>
    <s v="CO2 capture"/>
    <m/>
    <n v="50.657406000000002"/>
    <n v="6.8105380000000002"/>
    <s v="CO2-Abscheidung [Mt/a]"/>
    <n v="4.1957485000000003E-2"/>
    <n v="3.2633598999999999E-2"/>
    <n v="3.9160318999999999E-2"/>
    <n v="3.2633598999999999E-2"/>
    <n v="2.9836433999999998E-2"/>
    <n v="2.7971657E-2"/>
    <n v="2.7971657E-2"/>
    <m/>
  </r>
  <r>
    <x v="0"/>
    <s v="DE"/>
    <s v="process_emissions"/>
    <s v="Industry"/>
    <x v="50"/>
    <s v="Lippe"/>
    <x v="1"/>
    <s v="CO2 capture"/>
    <m/>
    <n v="51.985916000000003"/>
    <n v="8.8075480000000006"/>
    <s v="CO2-Abscheidung [Mt/a]"/>
    <n v="2.1625373999999999E-2"/>
    <n v="1.6819735999999998E-2"/>
    <n v="2.0183683000000001E-2"/>
    <n v="1.6819735999999998E-2"/>
    <n v="1.5378044E-2"/>
    <n v="1.4416916E-2"/>
    <n v="1.4416916E-2"/>
    <m/>
  </r>
  <r>
    <x v="0"/>
    <s v="DE"/>
    <s v="process_emissions"/>
    <s v="Industry"/>
    <x v="51"/>
    <s v="Kleve"/>
    <x v="1"/>
    <s v="CO2 capture"/>
    <m/>
    <n v="51.729120999999999"/>
    <n v="6.3590609999999996"/>
    <s v="CO2-Abscheidung [Mt/a]"/>
    <n v="2.1348077E-2"/>
    <n v="1.660406E-2"/>
    <n v="1.9924872E-2"/>
    <n v="1.660406E-2"/>
    <n v="1.5180855E-2"/>
    <n v="1.4232052E-2"/>
    <n v="1.4232052E-2"/>
    <m/>
  </r>
  <r>
    <x v="0"/>
    <s v="DE"/>
    <s v="process_emissions"/>
    <s v="Industry"/>
    <x v="21"/>
    <s v="Salzlandkreis"/>
    <x v="1"/>
    <s v="CO2 capture"/>
    <m/>
    <n v="51.698058000000003"/>
    <n v="11.757585000000001"/>
    <s v="CO2-Abscheidung [Mt/a]"/>
    <n v="5.2051849999999997E-2"/>
    <n v="4.0484772000000002E-2"/>
    <n v="4.8581726999999998E-2"/>
    <n v="4.0484772000000002E-2"/>
    <n v="3.7014648999999997E-2"/>
    <n v="3.4701232999999998E-2"/>
    <n v="3.4701232999999998E-2"/>
    <m/>
  </r>
  <r>
    <x v="0"/>
    <s v="DE"/>
    <s v="process_emissions"/>
    <s v="Industry"/>
    <x v="10"/>
    <s v="Soest"/>
    <x v="1"/>
    <s v="CO2 capture"/>
    <m/>
    <n v="51.597330999999997"/>
    <n v="8.3411760000000008"/>
    <s v="CO2-Abscheidung [Mt/a]"/>
    <n v="5.7637064000000002E-2"/>
    <n v="4.4828828000000001E-2"/>
    <n v="5.3794593000000002E-2"/>
    <n v="4.4828828000000001E-2"/>
    <n v="4.0986357000000001E-2"/>
    <n v="3.8424710000000001E-2"/>
    <n v="3.8424710000000001E-2"/>
    <m/>
  </r>
  <r>
    <x v="0"/>
    <s v="DE"/>
    <s v="process_emissions"/>
    <s v="Industry"/>
    <x v="52"/>
    <s v="Oder-Spree"/>
    <x v="1"/>
    <s v="CO2 capture"/>
    <m/>
    <n v="52.169490000000003"/>
    <n v="14.626637000000001"/>
    <s v="CO2-Abscheidung [Mt/a]"/>
    <n v="7.2417085000000006E-2"/>
    <n v="5.6324398999999997E-2"/>
    <n v="6.7589279000000002E-2"/>
    <n v="5.6324398999999997E-2"/>
    <n v="5.1496594E-2"/>
    <n v="4.8278056999999999E-2"/>
    <n v="4.8278056999999999E-2"/>
    <m/>
  </r>
  <r>
    <x v="0"/>
    <s v="DE"/>
    <s v="process_emissions"/>
    <s v="Industry"/>
    <x v="24"/>
    <s v="Greiz"/>
    <x v="1"/>
    <s v="CO2 capture"/>
    <m/>
    <n v="50.944513999999998"/>
    <n v="11.988065000000001"/>
    <s v="CO2-Abscheidung [Mt/a]"/>
    <n v="3.2936343999999999E-2"/>
    <n v="2.5617157000000002E-2"/>
    <n v="3.0740587999999999E-2"/>
    <n v="2.5617157000000002E-2"/>
    <n v="2.3421399999999998E-2"/>
    <n v="2.1957562999999999E-2"/>
    <n v="2.1957562999999999E-2"/>
    <m/>
  </r>
  <r>
    <x v="0"/>
    <s v="DE"/>
    <s v="process_emissions"/>
    <s v="Industry"/>
    <x v="53"/>
    <s v="Vorpommern-Greifswald"/>
    <x v="1"/>
    <s v="CO2 capture"/>
    <m/>
    <n v="53.853903000000003"/>
    <n v="13.708684"/>
    <s v="CO2-Abscheidung [Mt/a]"/>
    <n v="3.9175997999999997E-2"/>
    <n v="3.0470220999999999E-2"/>
    <n v="3.6564264999999999E-2"/>
    <n v="3.0470220999999999E-2"/>
    <n v="2.7858488000000001E-2"/>
    <n v="2.6117332E-2"/>
    <n v="2.6117332E-2"/>
    <m/>
  </r>
  <r>
    <x v="0"/>
    <s v="DE"/>
    <s v="process_emissions"/>
    <s v="Industry"/>
    <x v="54"/>
    <s v="HÃ¶xter"/>
    <x v="1"/>
    <s v="CO2 capture"/>
    <m/>
    <n v="51.491359000000003"/>
    <n v="9.1656840000000006"/>
    <s v="CO2-Abscheidung [Mt/a]"/>
    <n v="1.6134327E-2"/>
    <n v="1.2548920999999999E-2"/>
    <n v="1.5058706E-2"/>
    <n v="1.2548920999999999E-2"/>
    <n v="1.1473298999999999E-2"/>
    <n v="1.0756218E-2"/>
    <n v="1.0756218E-2"/>
    <m/>
  </r>
  <r>
    <x v="0"/>
    <s v="DE"/>
    <s v="process_emissions"/>
    <s v="Industry"/>
    <x v="55"/>
    <s v="Schwalm-Eder-Kreis"/>
    <x v="1"/>
    <s v="CO2 capture"/>
    <m/>
    <n v="51.102179999999997"/>
    <n v="9.3601209999999995"/>
    <s v="CO2-Abscheidung [Mt/a]"/>
    <n v="1.9918057999999999E-2"/>
    <n v="1.5491823E-2"/>
    <n v="1.8590188000000001E-2"/>
    <n v="1.5491823E-2"/>
    <n v="1.4163952E-2"/>
    <n v="1.3278705E-2"/>
    <n v="1.3278705E-2"/>
    <m/>
  </r>
  <r>
    <x v="0"/>
    <s v="DE"/>
    <s v="process_emissions"/>
    <s v="Industry"/>
    <x v="56"/>
    <s v="Heilbronn, Landkreis"/>
    <x v="1"/>
    <s v="CO2 capture"/>
    <m/>
    <n v="49.243552000000001"/>
    <n v="9.1805129999999995"/>
    <s v="CO2-Abscheidung [Mt/a]"/>
    <n v="3.6359493999999999E-2"/>
    <n v="2.8279606999999998E-2"/>
    <n v="3.3935528E-2"/>
    <n v="2.8279606999999998E-2"/>
    <n v="2.5855639999999999E-2"/>
    <n v="2.4239663000000002E-2"/>
    <n v="2.4239663000000002E-2"/>
    <m/>
  </r>
  <r>
    <x v="0"/>
    <s v="DE"/>
    <s v="process_emissions"/>
    <s v="Industry"/>
    <x v="57"/>
    <s v="WÃ¼rzburg, Landkreis"/>
    <x v="1"/>
    <s v="CO2 capture"/>
    <m/>
    <n v="49.665720999999998"/>
    <n v="10.080456999999999"/>
    <s v="CO2-Abscheidung [Mt/a]"/>
    <n v="6.8611114000000001E-2"/>
    <n v="5.3364199000000001E-2"/>
    <n v="6.4037039000000004E-2"/>
    <n v="5.3364199000000001E-2"/>
    <n v="4.8790124999999997E-2"/>
    <n v="4.5740742000000001E-2"/>
    <n v="4.5740742000000001E-2"/>
    <m/>
  </r>
  <r>
    <x v="0"/>
    <s v="DE"/>
    <s v="process_emissions"/>
    <s v="Industry"/>
    <x v="22"/>
    <s v="Burgenlandkreis"/>
    <x v="1"/>
    <s v="CO2 capture"/>
    <m/>
    <n v="51.053932000000003"/>
    <n v="12.110927"/>
    <s v="CO2-Abscheidung [Mt/a]"/>
    <n v="0.13392447599999999"/>
    <n v="0.104163481"/>
    <n v="0.124996178"/>
    <n v="0.104163481"/>
    <n v="9.5235183000000001E-2"/>
    <n v="8.9282983999999996E-2"/>
    <n v="8.9282983999999996E-2"/>
    <m/>
  </r>
  <r>
    <x v="0"/>
    <s v="DE"/>
    <s v="process_emissions"/>
    <s v="Industry"/>
    <x v="58"/>
    <s v="Elbe-Elster"/>
    <x v="1"/>
    <s v="CO2 capture"/>
    <m/>
    <n v="51.459828999999999"/>
    <n v="13.223212999999999"/>
    <s v="CO2-Abscheidung [Mt/a]"/>
    <n v="3.4265571000000002E-2"/>
    <n v="2.6651000000000001E-2"/>
    <n v="3.1981200000000001E-2"/>
    <n v="2.6651000000000001E-2"/>
    <n v="2.4366628000000001E-2"/>
    <n v="2.2843714000000001E-2"/>
    <n v="2.2843714000000001E-2"/>
    <m/>
  </r>
  <r>
    <x v="0"/>
    <s v="DE"/>
    <s v="process_emissions"/>
    <s v="Industry"/>
    <x v="19"/>
    <s v="Donau-Ries"/>
    <x v="1"/>
    <s v="CO2 capture"/>
    <m/>
    <n v="48.69791"/>
    <n v="10.909583"/>
    <s v="CO2-Abscheidung [Mt/a]"/>
    <n v="3.7691086999999998E-2"/>
    <n v="2.9315290000000001E-2"/>
    <n v="3.5178347999999998E-2"/>
    <n v="2.9315290000000001E-2"/>
    <n v="2.6802551000000001E-2"/>
    <n v="2.5127390999999999E-2"/>
    <n v="2.5127390999999999E-2"/>
    <m/>
  </r>
  <r>
    <x v="0"/>
    <s v="DE"/>
    <s v="process_emissions"/>
    <s v="Industry"/>
    <x v="59"/>
    <s v="Bad DÃ¼rkheim"/>
    <x v="1"/>
    <s v="CO2 capture"/>
    <m/>
    <n v="49.599576999999996"/>
    <n v="8.2196610000000003"/>
    <s v="CO2-Abscheidung [Mt/a]"/>
    <n v="6.7556344000000004E-2"/>
    <n v="5.2543823000000003E-2"/>
    <n v="6.3052588000000007E-2"/>
    <n v="5.2543823000000003E-2"/>
    <n v="4.8040066999999999E-2"/>
    <n v="4.5037563000000003E-2"/>
    <n v="4.5037563000000003E-2"/>
    <m/>
  </r>
  <r>
    <x v="0"/>
    <s v="DE"/>
    <s v="process_emissions"/>
    <s v="Industry"/>
    <x v="60"/>
    <s v="Deggendorf"/>
    <x v="1"/>
    <s v="CO2 capture"/>
    <m/>
    <n v="48.786760000000001"/>
    <n v="12.882771"/>
    <s v="CO2-Abscheidung [Mt/a]"/>
    <n v="5.9421039000000002E-2"/>
    <n v="4.6216364000000003E-2"/>
    <n v="5.5459636999999999E-2"/>
    <n v="4.6216364000000003E-2"/>
    <n v="4.2254961000000001E-2"/>
    <n v="3.9614025999999997E-2"/>
    <n v="3.9614025999999997E-2"/>
    <m/>
  </r>
  <r>
    <x v="0"/>
    <s v="DE"/>
    <s v="process_emissions"/>
    <s v="Industry"/>
    <x v="61"/>
    <s v="Breisgau-Hochschwarzwald"/>
    <x v="2"/>
    <s v="CO2 capture"/>
    <m/>
    <n v="47.891316660000001"/>
    <n v="7.6164636420000003"/>
    <s v="CO2-Abscheidung [Mt/a]"/>
    <n v="0"/>
    <n v="3.9440279999999996E-3"/>
    <n v="2.297486E-2"/>
    <n v="5.6290736000000001E-2"/>
    <n v="8.3387163E-2"/>
    <n v="0.115849047"/>
    <n v="0.115849047"/>
    <m/>
  </r>
  <r>
    <x v="0"/>
    <s v="DE"/>
    <s v="process_emissions"/>
    <s v="Industry"/>
    <x v="62"/>
    <s v="Kempten (Allgäu), Kreisfreie Stadt"/>
    <x v="2"/>
    <s v="CO2 capture"/>
    <m/>
    <n v="47.7592316"/>
    <n v="10.31880001"/>
    <s v="CO2-Abscheidung [Mt/a]"/>
    <n v="0"/>
    <n v="3.411051E-3"/>
    <n v="1.9870149E-2"/>
    <n v="4.8683878999999999E-2"/>
    <n v="7.2118627000000005E-2"/>
    <n v="0.100193771"/>
    <n v="0.100193771"/>
    <m/>
  </r>
  <r>
    <x v="0"/>
    <s v="DE"/>
    <s v="process_emissions"/>
    <s v="Industry"/>
    <x v="63"/>
    <s v="Rosenheim, Kreisfreie Stadt"/>
    <x v="2"/>
    <s v="CO2 capture"/>
    <m/>
    <n v="47.85607066"/>
    <n v="12.13358303"/>
    <s v="CO2-Abscheidung [Mt/a]"/>
    <n v="0"/>
    <n v="2.1319070000000002E-3"/>
    <n v="1.2418843000000001E-2"/>
    <n v="3.0427425000000001E-2"/>
    <n v="4.5074141999999998E-2"/>
    <n v="6.2621106999999995E-2"/>
    <n v="6.2621106999999995E-2"/>
    <m/>
  </r>
  <r>
    <x v="0"/>
    <s v="DE"/>
    <s v="process_emissions"/>
    <s v="Industry"/>
    <x v="64"/>
    <s v="Altötting"/>
    <x v="2"/>
    <s v="CO2 capture"/>
    <m/>
    <n v="48.184673170000003"/>
    <n v="12.738267240000001"/>
    <s v="CO2-Abscheidung [Mt/a]"/>
    <n v="0"/>
    <n v="5.6026510000000002E-3"/>
    <n v="3.2636720000000001E-2"/>
    <n v="7.9963272000000002E-2"/>
    <n v="0.118454846"/>
    <n v="0.16456826799999999"/>
    <n v="0.16456826799999999"/>
    <m/>
  </r>
  <r>
    <x v="0"/>
    <s v="DE"/>
    <s v="process_emissions"/>
    <s v="Industry"/>
    <x v="65"/>
    <s v="München, Kreisfreie Stadt"/>
    <x v="2"/>
    <s v="CO2 capture"/>
    <m/>
    <n v="48.181362759999999"/>
    <n v="11.637290269999999"/>
    <s v="CO2-Abscheidung [Mt/a]"/>
    <n v="0"/>
    <n v="1.5349730000000001E-2"/>
    <n v="8.9415672000000002E-2"/>
    <n v="0.219077457"/>
    <n v="0.32453382400000003"/>
    <n v="0.45087196800000001"/>
    <n v="0.45087196800000001"/>
    <m/>
  </r>
  <r>
    <x v="0"/>
    <s v="DE"/>
    <s v="process_emissions"/>
    <s v="Industry"/>
    <x v="66"/>
    <s v="Dachau"/>
    <x v="2"/>
    <s v="CO2 capture"/>
    <m/>
    <n v="48.234881199999997"/>
    <n v="11.35853928"/>
    <s v="CO2-Abscheidung [Mt/a]"/>
    <n v="0"/>
    <n v="2.7288410000000001E-3"/>
    <n v="1.5896119E-2"/>
    <n v="3.8947104000000003E-2"/>
    <n v="5.7694901999999999E-2"/>
    <n v="8.0155016999999995E-2"/>
    <n v="8.0155016999999995E-2"/>
    <m/>
  </r>
  <r>
    <x v="0"/>
    <s v="DE"/>
    <s v="process_emissions"/>
    <s v="Industry"/>
    <x v="67"/>
    <s v="Aichach-Friedberg"/>
    <x v="2"/>
    <s v="CO2 capture"/>
    <m/>
    <n v="48.401756519999999"/>
    <n v="10.933586930000001"/>
    <s v="CO2-Abscheidung [Mt/a]"/>
    <n v="0"/>
    <n v="5.5429579999999997E-3"/>
    <n v="3.2288993000000002E-2"/>
    <n v="7.9111303999999993E-2"/>
    <n v="0.11719277"/>
    <n v="0.162814877"/>
    <n v="0.162814877"/>
    <m/>
  </r>
  <r>
    <x v="0"/>
    <s v="DE"/>
    <s v="process_emissions"/>
    <s v="Industry"/>
    <x v="68"/>
    <s v="Neu-Ulm"/>
    <x v="2"/>
    <s v="CO2 capture"/>
    <m/>
    <n v="48.299242839999998"/>
    <n v="10.13459591"/>
    <s v="CO2-Abscheidung [Mt/a]"/>
    <n v="0"/>
    <n v="2.2385019999999999E-3"/>
    <n v="1.3039785999999999E-2"/>
    <n v="3.1948796000000002E-2"/>
    <n v="4.7327848999999998E-2"/>
    <n v="6.5752162000000003E-2"/>
    <n v="6.5752162000000003E-2"/>
    <m/>
  </r>
  <r>
    <x v="0"/>
    <s v="DE"/>
    <s v="process_emissions"/>
    <s v="Industry"/>
    <x v="69"/>
    <s v="Ulm, Stadtkreis"/>
    <x v="2"/>
    <s v="CO2 capture"/>
    <m/>
    <n v="48.363993919999999"/>
    <n v="9.9550238459999996"/>
    <s v="CO2-Abscheidung [Mt/a]"/>
    <n v="0"/>
    <n v="3.411051E-3"/>
    <n v="1.9870149E-2"/>
    <n v="4.8683878999999999E-2"/>
    <n v="7.2118627000000005E-2"/>
    <n v="0.100193771"/>
    <n v="0.100193771"/>
    <m/>
  </r>
  <r>
    <x v="0"/>
    <s v="DE"/>
    <s v="process_emissions"/>
    <s v="Industry"/>
    <x v="70"/>
    <s v="Göppingen"/>
    <x v="2"/>
    <s v="CO2 capture"/>
    <m/>
    <n v="48.682666310000002"/>
    <n v="9.6712464090000001"/>
    <s v="CO2-Abscheidung [Mt/a]"/>
    <n v="0"/>
    <n v="3.8284780000000002E-3"/>
    <n v="2.2301759000000001E-2"/>
    <n v="5.4641569000000001E-2"/>
    <n v="8.0944144999999995E-2"/>
    <n v="0.11245498299999999"/>
    <n v="0.11245498299999999"/>
    <m/>
  </r>
  <r>
    <x v="0"/>
    <s v="DE"/>
    <s v="process_emissions"/>
    <s v="Industry"/>
    <x v="71"/>
    <s v="Böblingen"/>
    <x v="2"/>
    <s v="CO2 capture"/>
    <m/>
    <n v="48.692656929999998"/>
    <n v="9.0629316150000001"/>
    <s v="CO2-Abscheidung [Mt/a]"/>
    <n v="0"/>
    <n v="3.3470940000000001E-3"/>
    <n v="1.9497583999999998E-2"/>
    <n v="4.7771056999999999E-2"/>
    <n v="7.0766403000000005E-2"/>
    <n v="9.8315136999999997E-2"/>
    <n v="9.8315136999999997E-2"/>
    <m/>
  </r>
  <r>
    <x v="0"/>
    <s v="DE"/>
    <s v="process_emissions"/>
    <s v="Industry"/>
    <x v="72"/>
    <s v="Stuttgart, Stadtkreis"/>
    <x v="2"/>
    <s v="CO2 capture"/>
    <m/>
    <n v="48.812675980000002"/>
    <n v="9.2192278539999997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0"/>
    <s v="DE"/>
    <s v="process_emissions"/>
    <s v="Industry"/>
    <x v="73"/>
    <s v="Eichstätt"/>
    <x v="2"/>
    <s v="CO2 capture"/>
    <m/>
    <n v="48.764951609999997"/>
    <n v="11.49198625"/>
    <s v="CO2-Abscheidung [Mt/a]"/>
    <n v="0"/>
    <n v="5.4363629999999996E-3"/>
    <n v="3.1668051000000003E-2"/>
    <n v="7.7589933E-2"/>
    <n v="0.11493906299999999"/>
    <n v="0.159683822"/>
    <n v="0.159683822"/>
    <m/>
  </r>
  <r>
    <x v="0"/>
    <s v="DE"/>
    <s v="process_emissions"/>
    <s v="Industry"/>
    <x v="16"/>
    <s v="Schwandorf"/>
    <x v="2"/>
    <s v="CO2 capture"/>
    <m/>
    <n v="49.310909559999999"/>
    <n v="12.085679600000001"/>
    <s v="CO2-Abscheidung [Mt/a]"/>
    <n v="0"/>
    <n v="9.5935810000000003E-3"/>
    <n v="5.5884795000000001E-2"/>
    <n v="0.13692341099999999"/>
    <n v="0.20283364000000001"/>
    <n v="0.28179497999999997"/>
    <n v="0.28179497999999997"/>
    <m/>
  </r>
  <r>
    <x v="0"/>
    <s v="DE"/>
    <s v="process_emissions"/>
    <s v="Industry"/>
    <x v="74"/>
    <s v="Nürnberg, Kreisfreie Stadt"/>
    <x v="2"/>
    <s v="CO2 capture"/>
    <m/>
    <n v="49.43652823"/>
    <n v="11.055938429999999"/>
    <s v="CO2-Abscheidung [Mt/a]"/>
    <n v="0"/>
    <n v="4.9137850000000004E-3"/>
    <n v="2.8623919000000001E-2"/>
    <n v="7.0131502999999998E-2"/>
    <n v="0.10389040099999999"/>
    <n v="0.14433401400000001"/>
    <n v="0.14433401400000001"/>
    <m/>
  </r>
  <r>
    <x v="0"/>
    <s v="DE"/>
    <s v="process_emissions"/>
    <s v="Industry"/>
    <x v="75"/>
    <s v="Ludwigshafen am Rhein, Kreisfreie Stadt"/>
    <x v="2"/>
    <s v="CO2 capture"/>
    <m/>
    <n v="49.48472941"/>
    <n v="8.4277331459999996"/>
    <s v="CO2-Abscheidung [Mt/a]"/>
    <n v="0"/>
    <n v="5.1165769999999998E-3"/>
    <n v="2.9805224000000002E-2"/>
    <n v="7.3025819000000006E-2"/>
    <n v="0.108177941"/>
    <n v="0.15029065599999999"/>
    <n v="0.15029065599999999"/>
    <m/>
  </r>
  <r>
    <x v="0"/>
    <s v="DE"/>
    <s v="process_emissions"/>
    <s v="Industry"/>
    <x v="76"/>
    <s v="Pirmasens, Kreisfreie Stadt"/>
    <x v="2"/>
    <s v="CO2 capture"/>
    <m/>
    <n v="49.228362009999998"/>
    <n v="7.5947836420000003"/>
    <s v="CO2-Abscheidung [Mt/a]"/>
    <n v="0"/>
    <n v="3.837432E-3"/>
    <n v="2.2353918E-2"/>
    <n v="5.4769364000000001E-2"/>
    <n v="8.1133456000000007E-2"/>
    <n v="0.112717992"/>
    <n v="0.112717992"/>
    <m/>
  </r>
  <r>
    <x v="0"/>
    <s v="DE"/>
    <s v="process_emissions"/>
    <s v="Industry"/>
    <x v="77"/>
    <s v="Neunkirchen"/>
    <x v="2"/>
    <s v="CO2 capture"/>
    <m/>
    <n v="49.338381650000002"/>
    <n v="7.1695241310000002"/>
    <s v="CO2-Abscheidung [Mt/a]"/>
    <n v="0"/>
    <n v="3.837432E-3"/>
    <n v="2.2353918E-2"/>
    <n v="5.4769364000000001E-2"/>
    <n v="8.1133456000000007E-2"/>
    <n v="0.112717992"/>
    <n v="0.112717992"/>
    <m/>
  </r>
  <r>
    <x v="0"/>
    <s v="DE"/>
    <s v="process_emissions"/>
    <s v="Industry"/>
    <x v="78"/>
    <s v="Regionalverband Saarbrücken"/>
    <x v="2"/>
    <s v="CO2 capture"/>
    <m/>
    <n v="49.21418405"/>
    <n v="6.8342256749999999"/>
    <s v="CO2-Abscheidung [Mt/a]"/>
    <n v="0"/>
    <n v="5.4363629999999996E-3"/>
    <n v="3.1668051000000003E-2"/>
    <n v="7.7589933E-2"/>
    <n v="0.11493906299999999"/>
    <n v="0.159683822"/>
    <n v="0.159683822"/>
    <m/>
  </r>
  <r>
    <x v="0"/>
    <s v="DE"/>
    <s v="process_emissions"/>
    <s v="Industry"/>
    <x v="79"/>
    <s v="Mannheim, Stadtkreis"/>
    <x v="2"/>
    <s v="CO2 capture"/>
    <m/>
    <n v="49.524153130000002"/>
    <n v="8.452034823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0"/>
    <s v="DE"/>
    <s v="process_emissions"/>
    <s v="Industry"/>
    <x v="80"/>
    <s v="Bamberg, Kreisfreie Stadt"/>
    <x v="2"/>
    <s v="CO2 capture"/>
    <m/>
    <n v="49.9112607"/>
    <n v="10.8544523"/>
    <s v="CO2-Abscheidung [Mt/a]"/>
    <n v="0"/>
    <n v="2.5445160000000001E-3"/>
    <n v="1.4822386E-2"/>
    <n v="3.6316347999999998E-2"/>
    <n v="5.3797791999999997E-2"/>
    <n v="7.4740795999999998E-2"/>
    <n v="7.4740795999999998E-2"/>
    <m/>
  </r>
  <r>
    <x v="0"/>
    <s v="DE"/>
    <s v="process_emissions"/>
    <s v="Industry"/>
    <x v="81"/>
    <s v="Coburg, Kreisfreie Stadt"/>
    <x v="2"/>
    <s v="CO2 capture"/>
    <m/>
    <n v="50.284546259999999"/>
    <n v="10.9548916"/>
    <s v="CO2-Abscheidung [Mt/a]"/>
    <n v="0"/>
    <n v="3.0273079999999998E-3"/>
    <n v="1.7634758E-2"/>
    <n v="4.3206942999999998E-2"/>
    <n v="6.4005281999999997E-2"/>
    <n v="8.8921971000000002E-2"/>
    <n v="8.8921971000000002E-2"/>
    <m/>
  </r>
  <r>
    <x v="0"/>
    <s v="DE"/>
    <s v="process_emissions"/>
    <s v="Industry"/>
    <x v="82"/>
    <s v="Schweinfurt, Kreisfreie Stadt"/>
    <x v="2"/>
    <s v="CO2 capture"/>
    <m/>
    <n v="50.030026589999999"/>
    <n v="10.22397774"/>
    <s v="CO2-Abscheidung [Mt/a]"/>
    <n v="0"/>
    <n v="4.1742740000000004E-3"/>
    <n v="2.4316094999999999E-2"/>
    <n v="5.9576896999999997E-2"/>
    <n v="8.8255169999999994E-2"/>
    <n v="0.122612127"/>
    <n v="0.122612127"/>
    <m/>
  </r>
  <r>
    <x v="0"/>
    <s v="DE"/>
    <s v="process_emissions"/>
    <s v="Industry"/>
    <x v="83"/>
    <s v="Würzburg, Kreisfreie Stadt"/>
    <x v="2"/>
    <s v="CO2 capture"/>
    <m/>
    <n v="49.79306038"/>
    <n v="9.9938927960000008"/>
    <s v="CO2-Abscheidung [Mt/a]"/>
    <n v="0"/>
    <n v="4.2638140000000003E-3"/>
    <n v="2.4837687000000001E-2"/>
    <n v="6.0854849000000003E-2"/>
    <n v="9.0148283999999995E-2"/>
    <n v="0.12524221299999999"/>
    <n v="0.12524221299999999"/>
    <m/>
  </r>
  <r>
    <x v="0"/>
    <s v="DE"/>
    <s v="process_emissions"/>
    <s v="Industry"/>
    <x v="84"/>
    <s v="Offenbach, Landkreis"/>
    <x v="2"/>
    <s v="CO2 capture"/>
    <m/>
    <n v="50.065175170000003"/>
    <n v="8.7686207950000004"/>
    <s v="CO2-Abscheidung [Mt/a]"/>
    <n v="0"/>
    <n v="6.395721E-3"/>
    <n v="3.7256530000000003E-2"/>
    <n v="9.1282273999999997E-2"/>
    <n v="0.13522242700000001"/>
    <n v="0.18786332"/>
    <n v="0.18786332"/>
    <m/>
  </r>
  <r>
    <x v="0"/>
    <s v="DE"/>
    <s v="process_emissions"/>
    <s v="Industry"/>
    <x v="85"/>
    <s v="Frankfurt am Main, Kreisfreie Stadt"/>
    <x v="2"/>
    <s v="CO2 capture"/>
    <m/>
    <n v="50.161785950000002"/>
    <n v="8.635333481"/>
    <s v="CO2-Abscheidung [Mt/a]"/>
    <n v="0"/>
    <n v="1.4390372E-2"/>
    <n v="8.3827192999999994E-2"/>
    <n v="0.20538511600000001"/>
    <n v="0.30425046"/>
    <n v="0.42269246999999999"/>
    <n v="0.42269246999999999"/>
    <m/>
  </r>
  <r>
    <x v="0"/>
    <s v="DE"/>
    <s v="process_emissions"/>
    <s v="Industry"/>
    <x v="11"/>
    <s v="Wiesbaden, Kreisfreie Stadt"/>
    <x v="2"/>
    <s v="CO2 capture"/>
    <m/>
    <n v="50.02556878"/>
    <n v="8.2429430860000004"/>
    <s v="CO2-Abscheidung [Mt/a]"/>
    <n v="0"/>
    <n v="7.2484840000000004E-3"/>
    <n v="4.2224066999999997E-2"/>
    <n v="0.103453244"/>
    <n v="0.15325208300000001"/>
    <n v="0.212911763"/>
    <n v="0.212911763"/>
    <m/>
  </r>
  <r>
    <x v="0"/>
    <s v="DE"/>
    <s v="process_emissions"/>
    <s v="Industry"/>
    <x v="11"/>
    <s v="Wiesbaden, Kreisfreie Stadt"/>
    <x v="2"/>
    <s v="CO2 capture"/>
    <m/>
    <n v="50.042577919999999"/>
    <n v="8.2625523960000002"/>
    <s v="CO2-Abscheidung [Mt/a]"/>
    <n v="0"/>
    <n v="4.1572179999999999E-3"/>
    <n v="2.4216745000000001E-2"/>
    <n v="5.9333478000000002E-2"/>
    <n v="8.7894577000000002E-2"/>
    <n v="0.122111158"/>
    <n v="0.122111158"/>
    <m/>
  </r>
  <r>
    <x v="0"/>
    <s v="DE"/>
    <s v="process_emissions"/>
    <s v="Industry"/>
    <x v="85"/>
    <s v="Frankfurt am Main, Kreisfreie Stadt"/>
    <x v="2"/>
    <s v="CO2 capture"/>
    <m/>
    <n v="50.07995081"/>
    <n v="8.5324263560000002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0"/>
    <s v="DE"/>
    <s v="process_emissions"/>
    <s v="Industry"/>
    <x v="86"/>
    <s v="Darmstadt, Kreisfreie Stadt"/>
    <x v="2"/>
    <s v="CO2 capture"/>
    <m/>
    <n v="49.883550450000001"/>
    <n v="8.6452617810000003"/>
    <s v="CO2-Abscheidung [Mt/a]"/>
    <n v="0"/>
    <n v="4.5196400000000001E-4"/>
    <n v="2.6327949999999998E-3"/>
    <n v="6.4506140000000003E-3"/>
    <n v="9.5557179999999995E-3"/>
    <n v="1.3275675000000001E-2"/>
    <n v="1.3275675000000001E-2"/>
    <m/>
  </r>
  <r>
    <x v="0"/>
    <s v="DE"/>
    <s v="process_emissions"/>
    <s v="Industry"/>
    <x v="87"/>
    <s v="Saalfeld-Rudolstadt"/>
    <x v="2"/>
    <s v="CO2 capture"/>
    <m/>
    <n v="50.686880760000001"/>
    <n v="11.33025072"/>
    <s v="CO2-Abscheidung [Mt/a]"/>
    <n v="0"/>
    <n v="1.705526E-3"/>
    <n v="9.9350749999999998E-3"/>
    <n v="2.4341939999999999E-2"/>
    <n v="3.6059314000000002E-2"/>
    <n v="5.0096885000000001E-2"/>
    <n v="5.0096885000000001E-2"/>
    <m/>
  </r>
  <r>
    <x v="0"/>
    <s v="DE"/>
    <s v="process_emissions"/>
    <s v="Industry"/>
    <x v="88"/>
    <s v="Suhl, Kreisfreie Stadt"/>
    <x v="2"/>
    <s v="CO2 capture"/>
    <m/>
    <n v="50.638619630000001"/>
    <n v="10.68675861"/>
    <s v="CO2-Abscheidung [Mt/a]"/>
    <n v="0"/>
    <n v="3.411051E-3"/>
    <n v="1.9870149E-2"/>
    <n v="4.8683878999999999E-2"/>
    <n v="7.2118627000000005E-2"/>
    <n v="0.100193771"/>
    <n v="0.100193771"/>
    <m/>
  </r>
  <r>
    <x v="0"/>
    <s v="DE"/>
    <s v="process_emissions"/>
    <s v="Industry"/>
    <x v="89"/>
    <s v="Gießen, Landkreis"/>
    <x v="2"/>
    <s v="CO2 capture"/>
    <m/>
    <n v="50.567930369999999"/>
    <n v="8.6788467249999997"/>
    <s v="CO2-Abscheidung [Mt/a]"/>
    <n v="0"/>
    <n v="1.108592E-3"/>
    <n v="6.4577990000000002E-3"/>
    <n v="1.5822261000000001E-2"/>
    <n v="2.3438554E-2"/>
    <n v="3.2562975000000001E-2"/>
    <n v="3.2562975000000001E-2"/>
    <m/>
  </r>
  <r>
    <x v="0"/>
    <s v="DE"/>
    <s v="process_emissions"/>
    <s v="Industry"/>
    <x v="90"/>
    <s v="Mayen-Koblenz"/>
    <x v="2"/>
    <s v="CO2 capture"/>
    <m/>
    <n v="50.434591400000002"/>
    <n v="7.4319558109999999"/>
    <s v="CO2-Abscheidung [Mt/a]"/>
    <n v="0"/>
    <n v="2.98467E-3"/>
    <n v="1.7386380999999999E-2"/>
    <n v="4.2598393999999998E-2"/>
    <n v="6.3103799000000002E-2"/>
    <n v="8.7669548999999999E-2"/>
    <n v="8.7669548999999999E-2"/>
    <m/>
  </r>
  <r>
    <x v="0"/>
    <s v="DE"/>
    <s v="process_emissions"/>
    <s v="Industry"/>
    <x v="91"/>
    <s v="Erfurt, Kreisfreie Stadt"/>
    <x v="2"/>
    <s v="CO2 capture"/>
    <m/>
    <n v="51.019662080000003"/>
    <n v="11.04083041"/>
    <s v="CO2-Abscheidung [Mt/a]"/>
    <n v="0"/>
    <n v="1.5989299999999999E-3"/>
    <n v="9.3141330000000005E-3"/>
    <n v="2.2820567999999999E-2"/>
    <n v="3.3805607000000001E-2"/>
    <n v="4.696583E-2"/>
    <n v="4.696583E-2"/>
    <m/>
  </r>
  <r>
    <x v="0"/>
    <s v="DE"/>
    <s v="process_emissions"/>
    <s v="Industry"/>
    <x v="92"/>
    <s v="Hersfeld-Rotenburg"/>
    <x v="2"/>
    <s v="CO2 capture"/>
    <m/>
    <n v="50.893422319999999"/>
    <n v="10.00017514"/>
    <s v="CO2-Abscheidung [Mt/a]"/>
    <n v="0"/>
    <n v="6.344555E-3"/>
    <n v="3.6958478000000003E-2"/>
    <n v="9.0552015999999999E-2"/>
    <n v="0.134140647"/>
    <n v="0.186360413"/>
    <n v="0.186360413"/>
    <m/>
  </r>
  <r>
    <x v="0"/>
    <s v="DE"/>
    <s v="process_emissions"/>
    <s v="Industry"/>
    <x v="93"/>
    <s v="Bonn, Kreisfreie Stadt"/>
    <x v="2"/>
    <s v="CO2 capture"/>
    <m/>
    <n v="50.73387829"/>
    <n v="7.0774461679999998"/>
    <s v="CO2-Abscheidung [Mt/a]"/>
    <n v="0"/>
    <n v="5.5429579999999997E-3"/>
    <n v="3.2288993000000002E-2"/>
    <n v="7.9111303999999993E-2"/>
    <n v="0.11719277"/>
    <n v="0.162814877"/>
    <n v="0.162814877"/>
    <m/>
  </r>
  <r>
    <x v="0"/>
    <s v="DE"/>
    <s v="process_emissions"/>
    <s v="Industry"/>
    <x v="94"/>
    <s v="Rhein-Erft-Kreis"/>
    <x v="2"/>
    <s v="CO2 capture"/>
    <m/>
    <n v="50.857043779999998"/>
    <n v="6.8430443250000001"/>
    <s v="CO2-Abscheidung [Mt/a]"/>
    <n v="0"/>
    <n v="6.822102E-3"/>
    <n v="3.9740299E-2"/>
    <n v="9.7367758999999998E-2"/>
    <n v="0.14423725500000001"/>
    <n v="0.200387541"/>
    <n v="0.200387541"/>
    <m/>
  </r>
  <r>
    <x v="0"/>
    <s v="DE"/>
    <s v="process_emissions"/>
    <s v="Industry"/>
    <x v="95"/>
    <s v="Städteregion Aachen"/>
    <x v="2"/>
    <s v="CO2 capture"/>
    <m/>
    <n v="50.840744149999999"/>
    <n v="6.3146604079999999"/>
    <s v="CO2-Abscheidung [Mt/a]"/>
    <n v="0"/>
    <n v="7.6748650000000003E-3"/>
    <n v="4.4707836000000001E-2"/>
    <n v="0.109538729"/>
    <n v="0.16226691200000001"/>
    <n v="0.22543598400000001"/>
    <n v="0.22543598400000001"/>
    <m/>
  </r>
  <r>
    <x v="0"/>
    <s v="DE"/>
    <s v="process_emissions"/>
    <s v="Industry"/>
    <x v="96"/>
    <s v="Köln, Kreisfreie Stadt"/>
    <x v="2"/>
    <s v="CO2 capture"/>
    <m/>
    <n v="51.000084209999997"/>
    <n v="6.9410077780000004"/>
    <s v="CO2-Abscheidung [Mt/a]"/>
    <n v="0"/>
    <n v="1.6735468999999999E-2"/>
    <n v="9.7487920000000006E-2"/>
    <n v="0.238855283"/>
    <n v="0.35383201600000003"/>
    <n v="0.49157568699999998"/>
    <n v="0.49157568699999998"/>
    <m/>
  </r>
  <r>
    <x v="0"/>
    <s v="DE"/>
    <s v="process_emissions"/>
    <s v="Industry"/>
    <x v="97"/>
    <s v="Leverkusen, Kreisfreie Stadt"/>
    <x v="2"/>
    <s v="CO2 capture"/>
    <m/>
    <n v="51.043500209999998"/>
    <n v="7.0033772010000002"/>
    <s v="CO2-Abscheidung [Mt/a]"/>
    <n v="0"/>
    <n v="5.9761609999999998E-3"/>
    <n v="3.4812502000000002E-2"/>
    <n v="8.5294156999999995E-2"/>
    <n v="0.126351835"/>
    <n v="0.17553948599999999"/>
    <n v="0.17553948599999999"/>
    <m/>
  </r>
  <r>
    <x v="0"/>
    <s v="DE"/>
    <s v="process_emissions"/>
    <s v="Industry"/>
    <x v="98"/>
    <s v="Solingen, Kreisfreie Stadt"/>
    <x v="2"/>
    <s v="CO2 capture"/>
    <m/>
    <n v="51.179356550000001"/>
    <n v="7.0718129559999996"/>
    <s v="CO2-Abscheidung [Mt/a]"/>
    <n v="0"/>
    <n v="3.7308369999999999E-3"/>
    <n v="2.1732976000000001E-2"/>
    <n v="5.3247993E-2"/>
    <n v="7.8879748999999999E-2"/>
    <n v="0.109586937"/>
    <n v="0.109586937"/>
    <m/>
  </r>
  <r>
    <x v="0"/>
    <s v="DE"/>
    <s v="process_emissions"/>
    <s v="Industry"/>
    <x v="28"/>
    <s v="Wuppertal, Kreisfreie Stadt"/>
    <x v="2"/>
    <s v="CO2 capture"/>
    <m/>
    <n v="51.225158819999997"/>
    <n v="7.1421867929999996"/>
    <s v="CO2-Abscheidung [Mt/a]"/>
    <n v="0"/>
    <n v="9.1778169999999996E-3"/>
    <n v="5.3462872000000002E-2"/>
    <n v="0.130989455"/>
    <n v="0.19404328100000001"/>
    <n v="0.269582612"/>
    <n v="0.269582612"/>
    <m/>
  </r>
  <r>
    <x v="0"/>
    <s v="DE"/>
    <s v="process_emissions"/>
    <s v="Industry"/>
    <x v="99"/>
    <s v="Düsseldorf, Kreisfreie Stadt"/>
    <x v="2"/>
    <s v="CO2 capture"/>
    <m/>
    <n v="51.225213240000002"/>
    <n v="6.8231294729999998"/>
    <s v="CO2-Abscheidung [Mt/a]"/>
    <n v="0"/>
    <n v="9.5935810000000003E-3"/>
    <n v="5.5884795000000001E-2"/>
    <n v="0.13692341099999999"/>
    <n v="0.20283364000000001"/>
    <n v="0.28179497999999997"/>
    <n v="0.28179497999999997"/>
    <m/>
  </r>
  <r>
    <x v="0"/>
    <s v="DE"/>
    <s v="process_emissions"/>
    <s v="Industry"/>
    <x v="38"/>
    <s v="Märkischer Kreis"/>
    <x v="2"/>
    <s v="CO2 capture"/>
    <m/>
    <n v="51.397204600000002"/>
    <n v="7.6966569219999998"/>
    <s v="CO2-Abscheidung [Mt/a]"/>
    <n v="0"/>
    <n v="6.2891249999999996E-3"/>
    <n v="3.6635587999999997E-2"/>
    <n v="8.9760903000000003E-2"/>
    <n v="0.13296871900000001"/>
    <n v="0.18473226500000001"/>
    <n v="0.18473226500000001"/>
    <m/>
  </r>
  <r>
    <x v="0"/>
    <s v="DE"/>
    <s v="process_emissions"/>
    <s v="Industry"/>
    <x v="100"/>
    <s v="Hagen, Kreisfreie Stadt"/>
    <x v="2"/>
    <s v="CO2 capture"/>
    <m/>
    <n v="51.377791610000003"/>
    <n v="7.4708468669999997"/>
    <s v="CO2-Abscheidung [Mt/a]"/>
    <n v="0"/>
    <n v="3.069946E-3"/>
    <n v="1.7883133999999998E-2"/>
    <n v="4.3815490999999998E-2"/>
    <n v="6.4906765000000005E-2"/>
    <n v="9.0174394000000005E-2"/>
    <n v="9.0174394000000005E-2"/>
    <m/>
  </r>
  <r>
    <x v="0"/>
    <s v="DE"/>
    <s v="process_emissions"/>
    <s v="Industry"/>
    <x v="101"/>
    <s v="Krefeld, Kreisfreie Stadt"/>
    <x v="2"/>
    <s v="CO2 capture"/>
    <m/>
    <n v="51.378956539999997"/>
    <n v="6.6352114750000002"/>
    <s v="CO2-Abscheidung [Mt/a]"/>
    <n v="0"/>
    <n v="3.7308369999999999E-3"/>
    <n v="2.1732976000000001E-2"/>
    <n v="5.3247993E-2"/>
    <n v="7.8879748999999999E-2"/>
    <n v="0.109586937"/>
    <n v="0.109586937"/>
    <m/>
  </r>
  <r>
    <x v="0"/>
    <s v="DE"/>
    <s v="process_emissions"/>
    <s v="Industry"/>
    <x v="102"/>
    <s v="Hamm, Kreisfreie Stadt"/>
    <x v="2"/>
    <s v="CO2 capture"/>
    <m/>
    <n v="51.680548989999998"/>
    <n v="7.7440984549999996"/>
    <s v="CO2-Abscheidung [Mt/a]"/>
    <n v="0"/>
    <n v="6.2891249999999996E-3"/>
    <n v="3.6635587999999997E-2"/>
    <n v="8.9760903000000003E-2"/>
    <n v="0.13296871900000001"/>
    <n v="0.18473226500000001"/>
    <n v="0.18473226500000001"/>
    <m/>
  </r>
  <r>
    <x v="0"/>
    <s v="DE"/>
    <s v="process_emissions"/>
    <s v="Industry"/>
    <x v="103"/>
    <s v="Recklinghausen"/>
    <x v="2"/>
    <s v="CO2 capture"/>
    <m/>
    <n v="51.556850369999999"/>
    <n v="7.1675268279999997"/>
    <s v="CO2-Abscheidung [Mt/a]"/>
    <n v="0"/>
    <n v="1.2791441000000001E-2"/>
    <n v="7.4513060000000006E-2"/>
    <n v="0.18256454799999999"/>
    <n v="0.27044485299999999"/>
    <n v="0.37572664"/>
    <n v="0.37572664"/>
    <m/>
  </r>
  <r>
    <x v="0"/>
    <s v="DE"/>
    <s v="process_emissions"/>
    <s v="Industry"/>
    <x v="104"/>
    <s v="Essen, Kreisfreie Stadt"/>
    <x v="2"/>
    <s v="CO2 capture"/>
    <m/>
    <n v="51.51560233"/>
    <n v="6.9939033989999997"/>
    <s v="CO2-Abscheidung [Mt/a]"/>
    <n v="0"/>
    <n v="1.5882706999999999E-2"/>
    <n v="9.2520382999999998E-2"/>
    <n v="0.226684314"/>
    <n v="0.33580235899999999"/>
    <n v="0.46652724499999998"/>
    <n v="0.46652724499999998"/>
    <m/>
  </r>
  <r>
    <x v="0"/>
    <s v="DE"/>
    <s v="process_emissions"/>
    <s v="Industry"/>
    <x v="105"/>
    <s v="Oberhausen, Kreisfreie Stadt"/>
    <x v="2"/>
    <s v="CO2 capture"/>
    <m/>
    <n v="51.485149309999997"/>
    <n v="6.8342344500000003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0"/>
    <s v="DE"/>
    <s v="process_emissions"/>
    <s v="Industry"/>
    <x v="106"/>
    <s v="Wesel"/>
    <x v="2"/>
    <s v="CO2 capture"/>
    <m/>
    <n v="51.52172161"/>
    <n v="6.5743393960000001"/>
    <s v="CO2-Abscheidung [Mt/a]"/>
    <n v="0"/>
    <n v="5.7561490000000003E-3"/>
    <n v="3.3530877000000001E-2"/>
    <n v="8.2154046999999994E-2"/>
    <n v="0.121700184"/>
    <n v="0.16907698800000001"/>
    <n v="0.16907698800000001"/>
    <m/>
  </r>
  <r>
    <x v="0"/>
    <s v="DE"/>
    <s v="process_emissions"/>
    <s v="Industry"/>
    <x v="107"/>
    <s v="Bielefeld, Kreisfreie Stadt"/>
    <x v="2"/>
    <s v="CO2 capture"/>
    <m/>
    <n v="52.042676559999997"/>
    <n v="8.607725426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0"/>
    <s v="DE"/>
    <s v="process_emissions"/>
    <s v="Industry"/>
    <x v="108"/>
    <s v="Minden-Lübbecke"/>
    <x v="2"/>
    <s v="CO2 capture"/>
    <m/>
    <n v="52.300836689999997"/>
    <n v="8.9493251590000007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0"/>
    <s v="DE"/>
    <s v="process_emissions"/>
    <s v="Industry"/>
    <x v="39"/>
    <s v="Hameln-Pyrmont"/>
    <x v="2"/>
    <s v="CO2 capture"/>
    <m/>
    <n v="52.098190780000003"/>
    <n v="9.3862909299999995"/>
    <s v="CO2-Abscheidung [Mt/a]"/>
    <n v="0"/>
    <n v="7.4616739999999997E-3"/>
    <n v="4.3465952000000002E-2"/>
    <n v="0.106495986"/>
    <n v="0.157759498"/>
    <n v="0.21917387299999999"/>
    <n v="0.21917387299999999"/>
    <m/>
  </r>
  <r>
    <x v="0"/>
    <s v="DE"/>
    <s v="process_emissions"/>
    <s v="Industry"/>
    <x v="6"/>
    <s v="Region Hannover"/>
    <x v="2"/>
    <s v="CO2 capture"/>
    <m/>
    <n v="52.411837230000003"/>
    <n v="9.8534918190000003"/>
    <s v="CO2-Abscheidung [Mt/a]"/>
    <n v="0"/>
    <n v="6.395721E-3"/>
    <n v="3.7256530000000003E-2"/>
    <n v="9.1282273999999997E-2"/>
    <n v="0.13522242700000001"/>
    <n v="0.18786332"/>
    <n v="0.18786332"/>
    <m/>
  </r>
  <r>
    <x v="0"/>
    <s v="DE"/>
    <s v="process_emissions"/>
    <s v="Industry"/>
    <x v="109"/>
    <s v="Helmstedt"/>
    <x v="2"/>
    <s v="CO2 capture"/>
    <m/>
    <n v="52.223607170000001"/>
    <n v="11.00983684"/>
    <s v="CO2-Abscheidung [Mt/a]"/>
    <n v="0"/>
    <n v="1.1192511E-2"/>
    <n v="6.5198928000000003E-2"/>
    <n v="0.15974397900000001"/>
    <n v="0.236639246"/>
    <n v="0.32876081000000001"/>
    <n v="0.32876081000000001"/>
    <m/>
  </r>
  <r>
    <x v="0"/>
    <s v="DE"/>
    <s v="process_emissions"/>
    <s v="Industry"/>
    <x v="110"/>
    <s v="Kassel, Kreisfreie Stadt"/>
    <x v="2"/>
    <s v="CO2 capture"/>
    <m/>
    <n v="51.315518419999997"/>
    <n v="9.5285438229999997"/>
    <s v="CO2-Abscheidung [Mt/a]"/>
    <n v="0"/>
    <n v="5.4576820000000002E-3"/>
    <n v="3.1792239E-2"/>
    <n v="7.7894206999999993E-2"/>
    <n v="0.115389804"/>
    <n v="0.16031003299999999"/>
    <n v="0.16031003299999999"/>
    <m/>
  </r>
  <r>
    <x v="0"/>
    <s v="DE"/>
    <s v="process_emissions"/>
    <s v="Industry"/>
    <x v="46"/>
    <s v="Werra-Meißner-Kreis"/>
    <x v="2"/>
    <s v="CO2 capture"/>
    <m/>
    <n v="51.318295470000002"/>
    <n v="9.8488889969999995"/>
    <s v="CO2-Abscheidung [Mt/a]"/>
    <n v="0"/>
    <n v="7.0352929999999998E-3"/>
    <n v="4.0982182999999998E-2"/>
    <n v="0.100410501"/>
    <n v="0.148744669"/>
    <n v="0.20664965199999999"/>
    <n v="0.20664965199999999"/>
    <m/>
  </r>
  <r>
    <x v="0"/>
    <s v="DE"/>
    <s v="process_emissions"/>
    <s v="Industry"/>
    <x v="111"/>
    <s v="Magdeburg, Kreisfreie Stadt"/>
    <x v="2"/>
    <s v="CO2 capture"/>
    <m/>
    <n v="52.185109670000003"/>
    <n v="11.677096819999999"/>
    <s v="CO2-Abscheidung [Mt/a]"/>
    <n v="0"/>
    <n v="1.3857395E-2"/>
    <n v="8.0722481999999998E-2"/>
    <n v="0.19777826000000001"/>
    <n v="0.292981924"/>
    <n v="0.40703719300000002"/>
    <n v="0.40703719300000002"/>
    <m/>
  </r>
  <r>
    <x v="0"/>
    <s v="DE"/>
    <s v="process_emissions"/>
    <s v="Industry"/>
    <x v="21"/>
    <s v="Salzlandkreis"/>
    <x v="2"/>
    <s v="CO2 capture"/>
    <m/>
    <n v="51.866047850000001"/>
    <n v="11.57611764"/>
    <s v="CO2-Abscheidung [Mt/a]"/>
    <n v="0"/>
    <n v="8.1012459999999994E-3"/>
    <n v="4.7191604999999998E-2"/>
    <n v="0.115624214"/>
    <n v="0.17128173999999999"/>
    <n v="0.23796020500000001"/>
    <n v="0.23796020500000001"/>
    <m/>
  </r>
  <r>
    <x v="0"/>
    <s v="DE"/>
    <s v="process_emissions"/>
    <s v="Industry"/>
    <x v="21"/>
    <s v="Salzlandkreis"/>
    <x v="2"/>
    <s v="CO2 capture"/>
    <m/>
    <n v="51.801934289999998"/>
    <n v="11.7580533"/>
    <s v="CO2-Abscheidung [Mt/a]"/>
    <n v="0"/>
    <n v="1.0233153E-2"/>
    <n v="5.9610448000000003E-2"/>
    <n v="0.14605163800000001"/>
    <n v="0.216355882"/>
    <n v="0.30058131199999999"/>
    <n v="0.30058131199999999"/>
    <m/>
  </r>
  <r>
    <x v="0"/>
    <s v="DE"/>
    <s v="process_emissions"/>
    <s v="Industry"/>
    <x v="112"/>
    <s v="Mansfeld-Südharz"/>
    <x v="2"/>
    <s v="CO2 capture"/>
    <m/>
    <n v="51.461989629999998"/>
    <n v="11.7182531"/>
    <s v="CO2-Abscheidung [Mt/a]"/>
    <n v="0"/>
    <n v="2.5582880000000001E-3"/>
    <n v="1.4902612000000001E-2"/>
    <n v="3.6512910000000003E-2"/>
    <n v="5.4088971E-2"/>
    <n v="7.5145327999999997E-2"/>
    <n v="7.5145327999999997E-2"/>
    <m/>
  </r>
  <r>
    <x v="0"/>
    <s v="DE"/>
    <s v="process_emissions"/>
    <s v="Industry"/>
    <x v="113"/>
    <s v="Anhalt-Bitterfeld"/>
    <x v="2"/>
    <s v="CO2 capture"/>
    <m/>
    <n v="51.629952979999999"/>
    <n v="12.288818210000001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0"/>
    <s v="DE"/>
    <s v="process_emissions"/>
    <s v="Industry"/>
    <x v="113"/>
    <s v="Anhalt-Bitterfeld"/>
    <x v="2"/>
    <s v="CO2 capture"/>
    <m/>
    <n v="51.636746700000003"/>
    <n v="12.227384430000001"/>
    <s v="CO2-Abscheidung [Mt/a]"/>
    <n v="0"/>
    <n v="6.3976179999999999E-3"/>
    <n v="3.7267583999999999E-2"/>
    <n v="9.1309357999999993E-2"/>
    <n v="0.13526254700000001"/>
    <n v="0.18791906"/>
    <n v="0.18791906"/>
    <m/>
  </r>
  <r>
    <x v="0"/>
    <s v="DE"/>
    <s v="process_emissions"/>
    <s v="Industry"/>
    <x v="114"/>
    <s v="Saalekreis"/>
    <x v="2"/>
    <s v="CO2 capture"/>
    <m/>
    <n v="51.325433420000003"/>
    <n v="11.99531919"/>
    <s v="CO2-Abscheidung [Mt/a]"/>
    <n v="0"/>
    <n v="8.1012459999999994E-3"/>
    <n v="4.7191604999999998E-2"/>
    <n v="0.115624214"/>
    <n v="0.17128173999999999"/>
    <n v="0.23796020500000001"/>
    <n v="0.23796020500000001"/>
    <m/>
  </r>
  <r>
    <x v="0"/>
    <s v="DE"/>
    <s v="process_emissions"/>
    <s v="Industry"/>
    <x v="22"/>
    <s v="Burgenlandkreis"/>
    <x v="2"/>
    <s v="CO2 capture"/>
    <m/>
    <n v="51.181517220000003"/>
    <n v="12.01915262"/>
    <s v="CO2-Abscheidung [Mt/a]"/>
    <n v="0"/>
    <n v="7.2058449999999998E-3"/>
    <n v="4.1975691000000002E-2"/>
    <n v="0.102844695"/>
    <n v="0.152350601"/>
    <n v="0.21165934"/>
    <n v="0.21165934"/>
    <m/>
  </r>
  <r>
    <x v="0"/>
    <s v="DE"/>
    <s v="process_emissions"/>
    <s v="Industry"/>
    <x v="115"/>
    <s v="Havelland"/>
    <x v="2"/>
    <s v="CO2 capture"/>
    <m/>
    <n v="52.527303930000002"/>
    <n v="12.35972664"/>
    <s v="CO2-Abscheidung [Mt/a]"/>
    <n v="0"/>
    <n v="6.8434209999999997E-3"/>
    <n v="3.9864486999999997E-2"/>
    <n v="9.7672033000000005E-2"/>
    <n v="0.14468799600000001"/>
    <n v="0.20101375199999999"/>
    <n v="0.20101375199999999"/>
    <m/>
  </r>
  <r>
    <x v="0"/>
    <s v="DE"/>
    <s v="process_emissions"/>
    <s v="Industry"/>
    <x v="116"/>
    <s v="Berlin"/>
    <x v="2"/>
    <s v="CO2 capture"/>
    <m/>
    <n v="52.530336679999998"/>
    <n v="13.23929775"/>
    <s v="CO2-Abscheidung [Mt/a]"/>
    <n v="0"/>
    <n v="1.1459810000000001E-2"/>
    <n v="6.6756001999999995E-2"/>
    <n v="0.16355897"/>
    <n v="0.242290642"/>
    <n v="0.336612244"/>
    <n v="0.336612244"/>
    <m/>
  </r>
  <r>
    <x v="0"/>
    <s v="DE"/>
    <s v="process_emissions"/>
    <s v="Industry"/>
    <x v="20"/>
    <s v="Märkisch-Oderland"/>
    <x v="2"/>
    <s v="CO2 capture"/>
    <m/>
    <n v="52.490157070000002"/>
    <n v="13.830480590000001"/>
    <s v="CO2-Abscheidung [Mt/a]"/>
    <n v="0"/>
    <n v="5.2231719999999999E-3"/>
    <n v="3.0426166000000001E-2"/>
    <n v="7.4547189999999999E-2"/>
    <n v="0.11043164799999999"/>
    <n v="0.15342171099999999"/>
    <n v="0.15342171099999999"/>
    <m/>
  </r>
  <r>
    <x v="0"/>
    <s v="DE"/>
    <s v="process_emissions"/>
    <s v="Industry"/>
    <x v="52"/>
    <s v="Oder-Spree"/>
    <x v="2"/>
    <s v="CO2 capture"/>
    <m/>
    <n v="52.173520459999999"/>
    <n v="14.640119070000001"/>
    <s v="CO2-Abscheidung [Mt/a]"/>
    <n v="0"/>
    <n v="1.1213829999999999E-2"/>
    <n v="6.5323116000000001E-2"/>
    <n v="0.160048254"/>
    <n v="0.237089988"/>
    <n v="0.329387021"/>
    <n v="0.329387021"/>
    <m/>
  </r>
  <r>
    <x v="0"/>
    <s v="DE"/>
    <s v="process_emissions"/>
    <s v="Industry"/>
    <x v="117"/>
    <s v="Oberspreewald-Lausitz"/>
    <x v="2"/>
    <s v="CO2 capture"/>
    <m/>
    <n v="51.58175336"/>
    <n v="13.977769090000001"/>
    <s v="CO2-Abscheidung [Mt/a]"/>
    <n v="0"/>
    <n v="6.2358279999999997E-3"/>
    <n v="3.6325116999999997E-2"/>
    <n v="8.9000217000000006E-2"/>
    <n v="0.131841866"/>
    <n v="0.183166737"/>
    <n v="0.183166737"/>
    <m/>
  </r>
  <r>
    <x v="0"/>
    <s v="DE"/>
    <s v="process_emissions"/>
    <s v="Industry"/>
    <x v="118"/>
    <s v="Spree-Neiße"/>
    <x v="2"/>
    <s v="CO2 capture"/>
    <m/>
    <n v="51.528581410000001"/>
    <n v="14.365483770000001"/>
    <s v="CO2-Abscheidung [Mt/a]"/>
    <n v="0"/>
    <n v="7.4702019999999996E-3"/>
    <n v="4.3515627000000001E-2"/>
    <n v="0.106617696"/>
    <n v="0.15793979399999999"/>
    <n v="0.21942435800000001"/>
    <n v="0.21942435800000001"/>
    <m/>
  </r>
  <r>
    <x v="0"/>
    <s v="DE"/>
    <s v="process_emissions"/>
    <s v="Industry"/>
    <x v="119"/>
    <s v="Bautzen"/>
    <x v="2"/>
    <s v="CO2 capture"/>
    <m/>
    <n v="51.450966469999997"/>
    <n v="14.11152613"/>
    <s v="CO2-Abscheidung [Mt/a]"/>
    <n v="0"/>
    <n v="4.7967909999999999E-3"/>
    <n v="2.7942398E-2"/>
    <n v="6.8461704999999998E-2"/>
    <n v="0.10141682"/>
    <n v="0.14089748999999999"/>
    <n v="0.14089748999999999"/>
    <m/>
  </r>
  <r>
    <x v="0"/>
    <s v="DE"/>
    <s v="process_emissions"/>
    <s v="Industry"/>
    <x v="120"/>
    <s v="Uckermark"/>
    <x v="2"/>
    <s v="CO2 capture"/>
    <m/>
    <n v="53.082755249999998"/>
    <n v="14.322349559999999"/>
    <s v="CO2-Abscheidung [Mt/a]"/>
    <n v="0"/>
    <n v="9.4267810000000004E-3"/>
    <n v="5.4913144999999997E-2"/>
    <n v="0.13454276900000001"/>
    <n v="0.19930703899999999"/>
    <n v="0.27689550499999999"/>
    <n v="0.27689550499999999"/>
    <m/>
  </r>
  <r>
    <x v="0"/>
    <s v="DE"/>
    <s v="process_emissions"/>
    <s v="Industry"/>
    <x v="121"/>
    <s v="Mecklenburgische Seenplatte"/>
    <x v="2"/>
    <s v="CO2 capture"/>
    <m/>
    <n v="53.707019979999998"/>
    <n v="12.909720119999999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0"/>
    <s v="DE"/>
    <s v="process_emissions"/>
    <s v="Industry"/>
    <x v="122"/>
    <s v="Rostock, Kreisfreie Stadt"/>
    <x v="2"/>
    <s v="CO2 capture"/>
    <m/>
    <n v="54.144674190000003"/>
    <n v="12.14359705"/>
    <s v="CO2-Abscheidung [Mt/a]"/>
    <n v="0"/>
    <n v="4.903386E-3"/>
    <n v="2.856334E-2"/>
    <n v="6.9983077000000005E-2"/>
    <n v="0.103670527"/>
    <n v="0.14402854500000001"/>
    <n v="0.14402854500000001"/>
    <m/>
  </r>
  <r>
    <x v="0"/>
    <s v="DE"/>
    <s v="process_emissions"/>
    <s v="Industry"/>
    <x v="123"/>
    <s v="Ludwigslust-Parchim"/>
    <x v="2"/>
    <s v="CO2 capture"/>
    <m/>
    <n v="53.298520959999998"/>
    <n v="11.516331470000001"/>
    <s v="CO2-Abscheidung [Mt/a]"/>
    <n v="0"/>
    <n v="1.2365060000000001E-3"/>
    <n v="7.2029290000000003E-3"/>
    <n v="1.7647906000000001E-2"/>
    <n v="2.6143001999999999E-2"/>
    <n v="3.6320242000000003E-2"/>
    <n v="3.6320242000000003E-2"/>
    <m/>
  </r>
  <r>
    <x v="0"/>
    <s v="DE"/>
    <s v="process_emissions"/>
    <s v="Industry"/>
    <x v="124"/>
    <s v="Ostholstein"/>
    <x v="2"/>
    <s v="CO2 capture"/>
    <m/>
    <n v="54.096261060000003"/>
    <n v="10.79355679"/>
    <s v="CO2-Abscheidung [Mt/a]"/>
    <n v="0"/>
    <n v="1.079981E-3"/>
    <n v="6.2911379999999999E-3"/>
    <n v="1.5413925E-2"/>
    <n v="2.2833658999999999E-2"/>
    <n v="3.1722599999999997E-2"/>
    <n v="3.1722599999999997E-2"/>
    <m/>
  </r>
  <r>
    <x v="0"/>
    <s v="DE"/>
    <s v="process_emissions"/>
    <s v="Industry"/>
    <x v="125"/>
    <s v="Kiel, Kreisfreie Stadt"/>
    <x v="2"/>
    <s v="CO2 capture"/>
    <m/>
    <n v="54.307207630000001"/>
    <n v="10.11225058"/>
    <s v="CO2-Abscheidung [Mt/a]"/>
    <n v="0"/>
    <n v="2.98467E-3"/>
    <n v="1.7386380999999999E-2"/>
    <n v="4.2598393999999998E-2"/>
    <n v="6.3103799000000002E-2"/>
    <n v="8.7669548999999999E-2"/>
    <n v="8.7669548999999999E-2"/>
    <m/>
  </r>
  <r>
    <x v="0"/>
    <s v="DE"/>
    <s v="process_emissions"/>
    <s v="Industry"/>
    <x v="126"/>
    <s v="Neumünster, Kreisfreie Stadt"/>
    <x v="2"/>
    <s v="CO2 capture"/>
    <m/>
    <n v="54.083000830000003"/>
    <n v="9.9905855989999992"/>
    <s v="CO2-Abscheidung [Mt/a]"/>
    <n v="0"/>
    <n v="4.2638140000000003E-3"/>
    <n v="2.4837687000000001E-2"/>
    <n v="6.0854849000000003E-2"/>
    <n v="9.0148283999999995E-2"/>
    <n v="0.12524221299999999"/>
    <n v="0.12524221299999999"/>
    <m/>
  </r>
  <r>
    <x v="0"/>
    <s v="DE"/>
    <s v="process_emissions"/>
    <s v="Industry"/>
    <x v="127"/>
    <s v="Stormarn"/>
    <x v="2"/>
    <s v="CO2 capture"/>
    <m/>
    <n v="53.618567259999999"/>
    <n v="10.22449729"/>
    <s v="CO2-Abscheidung [Mt/a]"/>
    <n v="0"/>
    <n v="7.4616739999999997E-3"/>
    <n v="4.3465952000000002E-2"/>
    <n v="0.106495986"/>
    <n v="0.157759498"/>
    <n v="0.21917387299999999"/>
    <n v="0.21917387299999999"/>
    <m/>
  </r>
  <r>
    <x v="0"/>
    <s v="DE"/>
    <s v="process_emissions"/>
    <s v="Industry"/>
    <x v="128"/>
    <s v="Hamburg"/>
    <x v="2"/>
    <s v="CO2 capture"/>
    <m/>
    <n v="53.53183087"/>
    <n v="10.07311881"/>
    <s v="CO2-Abscheidung [Mt/a]"/>
    <n v="0"/>
    <n v="7.4616739999999997E-3"/>
    <n v="4.3465952000000002E-2"/>
    <n v="0.106495986"/>
    <n v="0.157759498"/>
    <n v="0.21917387299999999"/>
    <n v="0.21917387299999999"/>
    <m/>
  </r>
  <r>
    <x v="0"/>
    <s v="DE"/>
    <s v="process_emissions"/>
    <s v="Industry"/>
    <x v="128"/>
    <s v="Hamburg"/>
    <x v="2"/>
    <s v="CO2 capture"/>
    <m/>
    <n v="53.520923260000004"/>
    <n v="9.9339566730000008"/>
    <s v="CO2-Abscheidung [Mt/a]"/>
    <n v="0"/>
    <n v="6.822102E-3"/>
    <n v="3.9740299E-2"/>
    <n v="9.7367758999999998E-2"/>
    <n v="0.14423725500000001"/>
    <n v="0.200387541"/>
    <n v="0.200387541"/>
    <m/>
  </r>
  <r>
    <x v="0"/>
    <s v="DE"/>
    <s v="process_emissions"/>
    <s v="Industry"/>
    <x v="129"/>
    <s v="Pinneberg"/>
    <x v="2"/>
    <s v="CO2 capture"/>
    <m/>
    <n v="53.70506778"/>
    <n v="9.7764563590000009"/>
    <s v="CO2-Abscheidung [Mt/a]"/>
    <n v="0"/>
    <n v="1.705526E-3"/>
    <n v="9.9350749999999998E-3"/>
    <n v="2.4341939999999999E-2"/>
    <n v="3.6059314000000002E-2"/>
    <n v="5.0096885000000001E-2"/>
    <n v="5.0096885000000001E-2"/>
    <m/>
  </r>
  <r>
    <x v="0"/>
    <s v="DE"/>
    <s v="process_emissions"/>
    <s v="Industry"/>
    <x v="5"/>
    <s v="Steinburg"/>
    <x v="2"/>
    <s v="CO2 capture"/>
    <m/>
    <n v="53.781289000000001"/>
    <n v="9.4256796680000008"/>
    <s v="CO2-Abscheidung [Mt/a]"/>
    <n v="0"/>
    <n v="5.1165769999999998E-3"/>
    <n v="2.9805224000000002E-2"/>
    <n v="7.3025819000000006E-2"/>
    <n v="0.108177941"/>
    <n v="0.15029065599999999"/>
    <n v="0.15029065599999999"/>
    <m/>
  </r>
  <r>
    <x v="0"/>
    <s v="DE"/>
    <s v="process_emissions"/>
    <s v="Industry"/>
    <x v="130"/>
    <s v="Bremerhaven, Kreisfreie Stadt"/>
    <x v="2"/>
    <s v="CO2 capture"/>
    <m/>
    <n v="53.547990830000003"/>
    <n v="8.6178952459999998"/>
    <s v="CO2-Abscheidung [Mt/a]"/>
    <n v="0"/>
    <n v="8.5596060000000009E-3"/>
    <n v="4.9861655999999997E-2"/>
    <n v="0.12216610999999999"/>
    <n v="0.180972681"/>
    <n v="0.25142374299999998"/>
    <n v="0.25142374299999998"/>
    <m/>
  </r>
  <r>
    <x v="0"/>
    <s v="DE"/>
    <s v="process_emissions"/>
    <s v="Industry"/>
    <x v="131"/>
    <s v="Wesermarsch"/>
    <x v="2"/>
    <s v="CO2 capture"/>
    <m/>
    <n v="53.179208619999997"/>
    <n v="8.5723346720000002"/>
    <s v="CO2-Abscheidung [Mt/a]"/>
    <n v="0"/>
    <n v="1.385739E-3"/>
    <n v="8.0722480000000006E-3"/>
    <n v="1.9777825999999998E-2"/>
    <n v="2.9298192000000001E-2"/>
    <n v="4.0703718999999999E-2"/>
    <n v="4.0703718999999999E-2"/>
    <m/>
  </r>
  <r>
    <x v="0"/>
    <s v="DE"/>
    <s v="process_emissions"/>
    <s v="Industry"/>
    <x v="132"/>
    <s v="Bremen, Kreisfreie Stadt"/>
    <x v="2"/>
    <s v="CO2 capture"/>
    <m/>
    <n v="53.124072060000003"/>
    <n v="8.7278352229999996"/>
    <s v="CO2-Abscheidung [Mt/a]"/>
    <n v="0"/>
    <n v="7.3550789999999996E-3"/>
    <n v="4.2845010000000003E-2"/>
    <n v="0.10497461499999999"/>
    <n v="0.155505791"/>
    <n v="0.216042818"/>
    <n v="0.216042818"/>
    <m/>
  </r>
  <r>
    <x v="0"/>
    <s v="DE"/>
    <s v="process_emissions"/>
    <s v="Industry"/>
    <x v="132"/>
    <s v="Bremen, Kreisfreie Stadt"/>
    <x v="2"/>
    <s v="CO2 capture"/>
    <m/>
    <n v="53.114351059999997"/>
    <n v="8.8167435249999997"/>
    <s v="CO2-Abscheidung [Mt/a]"/>
    <n v="0"/>
    <n v="1.1725487999999999E-2"/>
    <n v="6.8303638E-2"/>
    <n v="0.167350835"/>
    <n v="0.24790778199999999"/>
    <n v="0.34441608699999998"/>
    <n v="0.34441608699999998"/>
    <m/>
  </r>
  <r>
    <x v="0"/>
    <s v="DE"/>
    <s v="process_emissions"/>
    <s v="Industry"/>
    <x v="133"/>
    <s v="Leer"/>
    <x v="2"/>
    <s v="CO2 capture"/>
    <m/>
    <n v="53.181020879999998"/>
    <n v="7.354555951"/>
    <s v="CO2-Abscheidung [Mt/a]"/>
    <n v="0"/>
    <n v="3.837432E-3"/>
    <n v="2.2353918E-2"/>
    <n v="5.4769364000000001E-2"/>
    <n v="8.1133456000000007E-2"/>
    <n v="0.112717992"/>
    <n v="0.112717992"/>
    <m/>
  </r>
  <r>
    <x v="0"/>
    <s v="DE"/>
    <s v="process_emissions"/>
    <s v="Industry"/>
    <x v="134"/>
    <s v="Grafschaft Bentheim"/>
    <x v="2"/>
    <s v="CO2 capture"/>
    <m/>
    <n v="52.643203130000003"/>
    <n v="6.7421377009999999"/>
    <s v="CO2-Abscheidung [Mt/a]"/>
    <n v="0"/>
    <n v="9.6826099999999995E-3"/>
    <n v="5.6403406000000003E-2"/>
    <n v="0.13819406000000001"/>
    <n v="0.20471593599999999"/>
    <n v="0.284410037"/>
    <n v="0.284410037"/>
    <m/>
  </r>
  <r>
    <x v="0"/>
    <s v="DE"/>
    <s v="process_emissions"/>
    <s v="Industry"/>
    <x v="135"/>
    <s v="Emsland"/>
    <x v="2"/>
    <s v="CO2 capture"/>
    <m/>
    <n v="52.313141109999997"/>
    <n v="7.3507255469999997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1"/>
    <s v="DE"/>
    <s v="process_emissions"/>
    <s v="Industry"/>
    <x v="0"/>
    <s v="Heidenheim"/>
    <x v="0"/>
    <s v="CO2 capture"/>
    <m/>
    <n v="48.653686829999998"/>
    <n v="10.16246767"/>
    <s v="CO2-Abscheidung [Mt/a]"/>
    <n v="0.413052963"/>
    <n v="0.36142134300000001"/>
    <n v="0.39179288400000001"/>
    <n v="0.35838418900000002"/>
    <n v="0.32801264699999999"/>
    <n v="0.294603952"/>
    <n v="0.294603952"/>
    <m/>
  </r>
  <r>
    <x v="1"/>
    <s v="DE"/>
    <s v="process_emissions"/>
    <s v="Industry"/>
    <x v="1"/>
    <s v="Rhein-Neckar-Kreis"/>
    <x v="0"/>
    <s v="CO2 capture"/>
    <m/>
    <n v="49.357679390000001"/>
    <n v="8.6858323980000005"/>
    <s v="CO2-Abscheidung [Mt/a]"/>
    <n v="0.383086916"/>
    <n v="0.383086916"/>
    <n v="0.33520105100000003"/>
    <n v="0.36336920700000003"/>
    <n v="0.332384236"/>
    <n v="0.30421608"/>
    <n v="0.30421608"/>
    <m/>
  </r>
  <r>
    <x v="1"/>
    <s v="DE"/>
    <s v="process_emissions"/>
    <s v="Industry"/>
    <x v="2"/>
    <s v="Karlsruhe, Landkreis"/>
    <x v="0"/>
    <s v="CO2 capture"/>
    <m/>
    <n v="49.018412980000001"/>
    <n v="8.6124897310000001"/>
    <s v="CO2-Abscheidung [Mt/a]"/>
    <n v="0.35976087899999998"/>
    <n v="0.35976087899999998"/>
    <n v="0.31479076900000003"/>
    <n v="0.34124377500000003"/>
    <n v="0.31214546799999998"/>
    <n v="0.28569246300000001"/>
    <n v="0.28569246300000001"/>
    <m/>
  </r>
  <r>
    <x v="1"/>
    <s v="DE"/>
    <s v="process_emissions"/>
    <s v="Industry"/>
    <x v="3"/>
    <s v="Alb-Donau-Kreis"/>
    <x v="0"/>
    <s v="CO2 capture"/>
    <m/>
    <n v="48.331986280000002"/>
    <n v="9.7304687479999998"/>
    <s v="CO2-Abscheidung [Mt/a]"/>
    <n v="0.45278303800000003"/>
    <n v="0.45278303800000003"/>
    <n v="0.39618515799999998"/>
    <n v="0.42947802899999998"/>
    <n v="0.39285587100000002"/>
    <n v="0.35956300099999999"/>
    <n v="0.35956300099999999"/>
    <m/>
  </r>
  <r>
    <x v="1"/>
    <s v="DE"/>
    <s v="process_emissions"/>
    <s v="Industry"/>
    <x v="3"/>
    <s v="Alb-Donau-Kreis"/>
    <x v="0"/>
    <s v="CO2 capture"/>
    <m/>
    <n v="48.368603120000003"/>
    <n v="9.7346784"/>
    <s v="CO2-Abscheidung [Mt/a]"/>
    <n v="0.60784703699999998"/>
    <n v="0.60784703699999998"/>
    <n v="0.53186615699999995"/>
    <n v="0.57656079199999999"/>
    <n v="0.527396694"/>
    <n v="0.48270205900000002"/>
    <n v="0.48270205900000002"/>
    <m/>
  </r>
  <r>
    <x v="1"/>
    <s v="DE"/>
    <s v="process_emissions"/>
    <s v="Industry"/>
    <x v="4"/>
    <s v="Zollernalbkreis"/>
    <x v="0"/>
    <s v="CO2 capture"/>
    <m/>
    <n v="48.227041210000003"/>
    <n v="8.7790961079999992"/>
    <s v="CO2-Abscheidung [Mt/a]"/>
    <n v="0.52629559800000003"/>
    <n v="0.52629559800000003"/>
    <n v="0.46050864800000002"/>
    <n v="0.49920685399999998"/>
    <n v="0.45663882700000002"/>
    <n v="0.41794062199999998"/>
    <n v="0.41794062199999998"/>
    <m/>
  </r>
  <r>
    <x v="1"/>
    <s v="DE"/>
    <s v="process_emissions"/>
    <s v="Industry"/>
    <x v="5"/>
    <s v="Steinburg"/>
    <x v="0"/>
    <s v="CO2 capture"/>
    <m/>
    <n v="53.874164919999998"/>
    <n v="9.5832685959999999"/>
    <s v="CO2-Abscheidung [Mt/a]"/>
    <n v="0.79108328400000005"/>
    <n v="0.79108328400000005"/>
    <n v="0.69219787300000002"/>
    <n v="0.75036576200000005"/>
    <n v="0.68638108399999997"/>
    <n v="0.62821319600000003"/>
    <n v="0.62821319600000003"/>
    <m/>
  </r>
  <r>
    <x v="1"/>
    <s v="DE"/>
    <s v="process_emissions"/>
    <s v="Industry"/>
    <x v="6"/>
    <s v="Region Hannover"/>
    <x v="0"/>
    <s v="CO2 capture"/>
    <m/>
    <n v="52.349831299999998"/>
    <n v="9.8859338710000007"/>
    <s v="CO2-Abscheidung [Mt/a]"/>
    <n v="0.46625867999999998"/>
    <n v="0.46625867999999998"/>
    <n v="0.40797634500000002"/>
    <n v="0.44226007099999998"/>
    <n v="0.40454797199999998"/>
    <n v="0.37026424600000002"/>
    <n v="0.37026424600000002"/>
    <m/>
  </r>
  <r>
    <x v="1"/>
    <s v="DE"/>
    <s v="process_emissions"/>
    <s v="Industry"/>
    <x v="7"/>
    <s v="Warendorf"/>
    <x v="0"/>
    <s v="CO2 capture"/>
    <m/>
    <n v="51.765173730000001"/>
    <n v="8.0540287880000001"/>
    <s v="CO2-Abscheidung [Mt/a]"/>
    <n v="0.41116984299999998"/>
    <n v="0.41116984299999998"/>
    <n v="0.35977361299999999"/>
    <n v="0.39000668900000002"/>
    <n v="0.35675030499999999"/>
    <n v="0.32651722799999999"/>
    <n v="0.32651722799999999"/>
    <m/>
  </r>
  <r>
    <x v="1"/>
    <s v="DE"/>
    <s v="process_emissions"/>
    <s v="Industry"/>
    <x v="8"/>
    <s v="Steinfurt"/>
    <x v="0"/>
    <s v="CO2 capture"/>
    <m/>
    <n v="52.174985890000002"/>
    <n v="7.8878276410000003"/>
    <s v="CO2-Abscheidung [Mt/a]"/>
    <n v="0.78009607700000005"/>
    <n v="0.78009607700000005"/>
    <n v="0.68258406800000004"/>
    <n v="0.73994407299999998"/>
    <n v="0.676848067"/>
    <n v="0.61948806099999998"/>
    <n v="0.61948806099999998"/>
    <m/>
  </r>
  <r>
    <x v="1"/>
    <s v="DE"/>
    <s v="process_emissions"/>
    <s v="Industry"/>
    <x v="9"/>
    <s v="Paderborn"/>
    <x v="0"/>
    <s v="CO2 capture"/>
    <m/>
    <n v="51.698988470000003"/>
    <n v="8.7470409070000006"/>
    <s v="CO2-Abscheidung [Mt/a]"/>
    <n v="0.16345647099999999"/>
    <n v="0.16345647099999999"/>
    <n v="0.14302441199999999"/>
    <n v="0.15504327000000001"/>
    <n v="0.141822526"/>
    <n v="0.12980366800000001"/>
    <n v="0.12980366800000001"/>
    <m/>
  </r>
  <r>
    <x v="1"/>
    <s v="DE"/>
    <s v="process_emissions"/>
    <s v="Industry"/>
    <x v="10"/>
    <s v="Soest"/>
    <x v="0"/>
    <s v="CO2 capture"/>
    <m/>
    <n v="51.62256052"/>
    <n v="8.5043928809999993"/>
    <s v="CO2-Abscheidung [Mt/a]"/>
    <n v="0.18801528300000001"/>
    <n v="0.18801528300000001"/>
    <n v="0.16451337299999999"/>
    <n v="0.17833802600000001"/>
    <n v="0.16313090699999999"/>
    <n v="0.149306254"/>
    <n v="0.149306254"/>
    <m/>
  </r>
  <r>
    <x v="1"/>
    <s v="DE"/>
    <s v="process_emissions"/>
    <s v="Industry"/>
    <x v="10"/>
    <s v="Soest"/>
    <x v="0"/>
    <s v="CO2 capture"/>
    <m/>
    <n v="51.597210140000001"/>
    <n v="8.3346819449999998"/>
    <s v="CO2-Abscheidung [Mt/a]"/>
    <n v="0.28201554299999998"/>
    <n v="0.28201554299999998"/>
    <n v="0.2467636"/>
    <n v="0.26750003700000002"/>
    <n v="0.24468995599999999"/>
    <n v="0.22395351899999999"/>
    <n v="0.22395351899999999"/>
    <m/>
  </r>
  <r>
    <x v="1"/>
    <s v="DE"/>
    <s v="process_emissions"/>
    <s v="Industry"/>
    <x v="10"/>
    <s v="Soest"/>
    <x v="0"/>
    <s v="CO2 capture"/>
    <m/>
    <n v="51.594684739999998"/>
    <n v="8.3349065200000005"/>
    <s v="CO2-Abscheidung [Mt/a]"/>
    <n v="0.41794125100000001"/>
    <n v="0.41794125100000001"/>
    <n v="0.36569859500000002"/>
    <n v="0.39642956899999998"/>
    <n v="0.36262549799999999"/>
    <n v="0.331894523"/>
    <n v="0.331894523"/>
    <m/>
  </r>
  <r>
    <x v="1"/>
    <s v="DE"/>
    <s v="process_emissions"/>
    <s v="Industry"/>
    <x v="10"/>
    <s v="Soest"/>
    <x v="0"/>
    <s v="CO2 capture"/>
    <m/>
    <n v="51.601120729999998"/>
    <n v="8.3361264300000002"/>
    <s v="CO2-Abscheidung [Mt/a]"/>
    <n v="0.52548137500000003"/>
    <n v="0.52548137500000003"/>
    <n v="0.45979620300000001"/>
    <n v="0.49843453999999998"/>
    <n v="0.45593236999999998"/>
    <n v="0.41729403300000001"/>
    <n v="0.41729403300000001"/>
    <m/>
  </r>
  <r>
    <x v="1"/>
    <s v="DE"/>
    <s v="process_emissions"/>
    <s v="Industry"/>
    <x v="11"/>
    <s v="Wiesbaden, Kreisfreie Stadt"/>
    <x v="0"/>
    <s v="CO2 capture"/>
    <m/>
    <n v="50.031909560000003"/>
    <n v="8.2570017539999991"/>
    <s v="CO2-Abscheidung [Mt/a]"/>
    <n v="0.12881325699999999"/>
    <n v="0.12881325699999999"/>
    <n v="0.1127116"/>
    <n v="0.122183163"/>
    <n v="0.111764443"/>
    <n v="0.10229288"/>
    <n v="0.10229288"/>
    <m/>
  </r>
  <r>
    <x v="1"/>
    <s v="DE"/>
    <s v="process_emissions"/>
    <s v="Industry"/>
    <x v="12"/>
    <s v="Fulda"/>
    <x v="0"/>
    <s v="CO2 capture"/>
    <m/>
    <n v="50.584524440000003"/>
    <n v="9.5095189270000002"/>
    <s v="CO2-Abscheidung [Mt/a]"/>
    <n v="0.104529789"/>
    <n v="0.104529789"/>
    <n v="9.1463564999999997E-2"/>
    <n v="9.9149579000000002E-2"/>
    <n v="9.0694964000000003E-2"/>
    <n v="8.3008949999999998E-2"/>
    <n v="8.3008949999999998E-2"/>
    <m/>
  </r>
  <r>
    <x v="1"/>
    <s v="DE"/>
    <s v="process_emissions"/>
    <s v="Industry"/>
    <x v="13"/>
    <s v="Vulkaneifel"/>
    <x v="0"/>
    <s v="CO2 capture"/>
    <m/>
    <n v="50.333990059999998"/>
    <n v="6.7668281370000001"/>
    <s v="CO2-Abscheidung [Mt/a]"/>
    <n v="0.13159180100000001"/>
    <n v="0.13159180100000001"/>
    <n v="0.115142825"/>
    <n v="0.12481869299999999"/>
    <n v="0.114175239"/>
    <n v="0.10449937099999999"/>
    <n v="0.10449937099999999"/>
    <m/>
  </r>
  <r>
    <x v="1"/>
    <s v="DE"/>
    <s v="process_emissions"/>
    <s v="Industry"/>
    <x v="14"/>
    <s v="Donnersbergkreis"/>
    <x v="0"/>
    <s v="CO2 capture"/>
    <m/>
    <n v="49.601018850000003"/>
    <n v="8.0413779420000004"/>
    <s v="CO2-Abscheidung [Mt/a]"/>
    <n v="0.52443019400000002"/>
    <n v="0.52443019400000002"/>
    <n v="0.45887642000000001"/>
    <n v="0.49743746300000002"/>
    <n v="0.45502031500000001"/>
    <n v="0.41645927199999999"/>
    <n v="0.41645927199999999"/>
    <m/>
  </r>
  <r>
    <x v="1"/>
    <s v="DE"/>
    <s v="process_emissions"/>
    <s v="Industry"/>
    <x v="15"/>
    <s v="Rosenheim, Landkreis"/>
    <x v="0"/>
    <s v="CO2 capture"/>
    <m/>
    <n v="47.790819620000001"/>
    <n v="12.18159007"/>
    <s v="CO2-Abscheidung [Mt/a]"/>
    <n v="0.56116026799999996"/>
    <n v="0.56116026799999996"/>
    <n v="0.49101523499999999"/>
    <n v="0.53227701900000002"/>
    <n v="0.48688905599999999"/>
    <n v="0.44562727200000002"/>
    <n v="0.44562727200000002"/>
    <m/>
  </r>
  <r>
    <x v="1"/>
    <s v="DE"/>
    <s v="process_emissions"/>
    <s v="Industry"/>
    <x v="16"/>
    <s v="Schwandorf"/>
    <x v="0"/>
    <s v="CO2 capture"/>
    <m/>
    <n v="49.21283244"/>
    <n v="12.028256949999999"/>
    <s v="CO2-Abscheidung [Mt/a]"/>
    <n v="0.65150501599999999"/>
    <n v="0.65150501599999999"/>
    <n v="0.57006688900000002"/>
    <n v="0.617971669"/>
    <n v="0.56527641100000003"/>
    <n v="0.51737162999999997"/>
    <n v="0.51737162999999997"/>
    <m/>
  </r>
  <r>
    <x v="1"/>
    <s v="DE"/>
    <s v="process_emissions"/>
    <s v="Industry"/>
    <x v="17"/>
    <s v="WeiÃŸenburg-Gunzenhausen"/>
    <x v="0"/>
    <s v="CO2 capture"/>
    <m/>
    <n v="48.884912460000002"/>
    <n v="10.99769729"/>
    <s v="CO2-Abscheidung [Mt/a]"/>
    <n v="0.225386106"/>
    <n v="0.225386106"/>
    <n v="0.197212842"/>
    <n v="0.21378535000000001"/>
    <n v="0.195555592"/>
    <n v="0.17898308399999999"/>
    <n v="0.17898308399999999"/>
    <m/>
  </r>
  <r>
    <x v="1"/>
    <s v="DE"/>
    <s v="process_emissions"/>
    <s v="Industry"/>
    <x v="18"/>
    <s v="Main-Spessart"/>
    <x v="0"/>
    <s v="CO2 capture"/>
    <m/>
    <n v="49.808461000000001"/>
    <n v="9.6178912790000002"/>
    <s v="CO2-Abscheidung [Mt/a]"/>
    <n v="0.470449379"/>
    <n v="0.470449379"/>
    <n v="0.41164320700000001"/>
    <n v="0.44623507299999998"/>
    <n v="0.40818401999999998"/>
    <n v="0.37359215400000001"/>
    <n v="0.37359215400000001"/>
    <m/>
  </r>
  <r>
    <x v="1"/>
    <s v="DE"/>
    <s v="process_emissions"/>
    <s v="Industry"/>
    <x v="18"/>
    <s v="Main-Spessart"/>
    <x v="0"/>
    <s v="CO2 capture"/>
    <m/>
    <n v="49.955004879999997"/>
    <n v="9.7685104519999992"/>
    <s v="CO2-Abscheidung [Mt/a]"/>
    <n v="0.42839917599999999"/>
    <n v="0.42839917599999999"/>
    <n v="0.37484927899999998"/>
    <n v="0.40634921899999998"/>
    <n v="0.37169928499999999"/>
    <n v="0.34019934600000001"/>
    <n v="0.34019934600000001"/>
    <m/>
  </r>
  <r>
    <x v="1"/>
    <s v="DE"/>
    <s v="process_emissions"/>
    <s v="Industry"/>
    <x v="19"/>
    <s v="Donau-Ries"/>
    <x v="0"/>
    <s v="CO2 capture"/>
    <m/>
    <n v="48.776732469999999"/>
    <n v="10.70031679"/>
    <s v="CO2-Abscheidung [Mt/a]"/>
    <n v="0.44225867600000002"/>
    <n v="0.44225867600000002"/>
    <n v="0.38697634199999997"/>
    <n v="0.41949536199999998"/>
    <n v="0.38372444"/>
    <n v="0.35120541900000002"/>
    <n v="0.35120541900000002"/>
    <m/>
  </r>
  <r>
    <x v="1"/>
    <s v="DE"/>
    <s v="process_emissions"/>
    <s v="Industry"/>
    <x v="20"/>
    <s v="MÃ¤rkisch-Oderland"/>
    <x v="0"/>
    <s v="CO2 capture"/>
    <m/>
    <n v="52.489069260000001"/>
    <n v="13.836929169999999"/>
    <s v="CO2-Abscheidung [Mt/a]"/>
    <n v="0.96694575999999999"/>
    <n v="0.96694575999999999"/>
    <n v="0.84607754000000002"/>
    <n v="0.91717649300000004"/>
    <n v="0.83896764499999998"/>
    <n v="0.76786869199999996"/>
    <n v="0.76786869199999996"/>
    <m/>
  </r>
  <r>
    <x v="1"/>
    <s v="DE"/>
    <s v="process_emissions"/>
    <s v="Industry"/>
    <x v="21"/>
    <s v="Salzlandkreis"/>
    <x v="0"/>
    <s v="CO2 capture"/>
    <m/>
    <n v="51.816375209999997"/>
    <n v="11.7496466"/>
    <s v="CO2-Abscheidung [Mt/a]"/>
    <n v="0.50412187399999997"/>
    <n v="0.50412187399999997"/>
    <n v="0.44110663999999999"/>
    <n v="0.47817442500000001"/>
    <n v="0.437399861"/>
    <n v="0.40033207599999998"/>
    <n v="0.40033207599999998"/>
    <m/>
  </r>
  <r>
    <x v="1"/>
    <s v="DE"/>
    <s v="process_emissions"/>
    <s v="Industry"/>
    <x v="22"/>
    <s v="Burgenlandkreis"/>
    <x v="0"/>
    <s v="CO2 capture"/>
    <m/>
    <n v="51.271111779999998"/>
    <n v="11.654702629999999"/>
    <s v="CO2-Abscheidung [Mt/a]"/>
    <n v="0.69072057200000003"/>
    <n v="0.69072057200000003"/>
    <n v="0.60438050099999996"/>
    <n v="0.65516877799999995"/>
    <n v="0.59930167300000003"/>
    <n v="0.54851339600000004"/>
    <n v="0.54851339600000004"/>
    <m/>
  </r>
  <r>
    <x v="1"/>
    <s v="DE"/>
    <s v="process_emissions"/>
    <s v="Industry"/>
    <x v="23"/>
    <s v="Eichsfeld"/>
    <x v="0"/>
    <s v="CO2 capture"/>
    <m/>
    <n v="51.362759730000001"/>
    <n v="10.483568269999999"/>
    <s v="CO2-Abscheidung [Mt/a]"/>
    <n v="0.78788028099999996"/>
    <n v="0.78788028099999996"/>
    <n v="0.68939524600000002"/>
    <n v="0.74732761999999997"/>
    <n v="0.68360200900000001"/>
    <n v="0.62566963499999995"/>
    <n v="0.62566963499999995"/>
    <m/>
  </r>
  <r>
    <x v="1"/>
    <s v="DE"/>
    <s v="process_emissions"/>
    <s v="Industry"/>
    <x v="7"/>
    <s v="Warendorf"/>
    <x v="0"/>
    <s v="CO2 capture"/>
    <m/>
    <n v="51.760245959999999"/>
    <n v="8.0731712420000008"/>
    <s v="CO2-Abscheidung [Mt/a]"/>
    <n v="0.213463614"/>
    <n v="0.213463614"/>
    <n v="0.18678066199999999"/>
    <n v="0.202476516"/>
    <n v="0.185211076"/>
    <n v="0.16951522299999999"/>
    <n v="0.16951522299999999"/>
    <m/>
  </r>
  <r>
    <x v="1"/>
    <s v="DE"/>
    <s v="process_emissions"/>
    <s v="Industry"/>
    <x v="12"/>
    <s v="Fulda"/>
    <x v="1"/>
    <s v="CO2 capture"/>
    <m/>
    <n v="50.584319999999998"/>
    <n v="9.5092449999999999"/>
    <s v="CO2-Abscheidung [Mt/a]"/>
    <n v="3.3370271E-2"/>
    <n v="2.5954655E-2"/>
    <n v="3.1145585999999999E-2"/>
    <n v="2.5954655E-2"/>
    <n v="2.3729970999999999E-2"/>
    <n v="2.2246847E-2"/>
    <n v="2.2246847E-2"/>
    <m/>
  </r>
  <r>
    <x v="1"/>
    <s v="DE"/>
    <s v="process_emissions"/>
    <s v="Industry"/>
    <x v="24"/>
    <s v="Greiz"/>
    <x v="1"/>
    <s v="CO2 capture"/>
    <m/>
    <n v="50.808852000000002"/>
    <n v="12.09295"/>
    <s v="CO2-Abscheidung [Mt/a]"/>
    <n v="5.3444485999999999E-2"/>
    <n v="4.1567934000000001E-2"/>
    <n v="4.9881519999999999E-2"/>
    <n v="4.1567934000000001E-2"/>
    <n v="3.8004968E-2"/>
    <n v="3.5629657000000002E-2"/>
    <n v="3.5629657000000002E-2"/>
    <m/>
  </r>
  <r>
    <x v="1"/>
    <s v="DE"/>
    <s v="process_emissions"/>
    <s v="Industry"/>
    <x v="25"/>
    <s v="Northeim"/>
    <x v="1"/>
    <s v="CO2 capture"/>
    <m/>
    <n v="51.647706999999997"/>
    <n v="10.087452000000001"/>
    <s v="CO2-Abscheidung [Mt/a]"/>
    <n v="2.4607026000000001E-2"/>
    <n v="1.9138797999999999E-2"/>
    <n v="2.2966558000000001E-2"/>
    <n v="1.9138797999999999E-2"/>
    <n v="1.7498329999999999E-2"/>
    <n v="1.6404683999999999E-2"/>
    <n v="1.6404683999999999E-2"/>
    <m/>
  </r>
  <r>
    <x v="1"/>
    <s v="DE"/>
    <s v="process_emissions"/>
    <s v="Industry"/>
    <x v="20"/>
    <s v="MÃ¤rkisch-Oderland"/>
    <x v="1"/>
    <s v="CO2 capture"/>
    <m/>
    <n v="52.490088"/>
    <n v="13.838051"/>
    <s v="CO2-Abscheidung [Mt/a]"/>
    <n v="9.4549258999999997E-2"/>
    <n v="7.3538312999999994E-2"/>
    <n v="8.8245976000000004E-2"/>
    <n v="7.3538312999999994E-2"/>
    <n v="6.7235029000000002E-2"/>
    <n v="6.3032840000000007E-2"/>
    <n v="6.3032840000000007E-2"/>
    <m/>
  </r>
  <r>
    <x v="1"/>
    <s v="DE"/>
    <s v="process_emissions"/>
    <s v="Industry"/>
    <x v="26"/>
    <s v="Goslar"/>
    <x v="1"/>
    <s v="CO2 capture"/>
    <m/>
    <n v="51.844586"/>
    <n v="10.18979"/>
    <s v="CO2-Abscheidung [Mt/a]"/>
    <n v="0.153462079"/>
    <n v="0.11935939499999999"/>
    <n v="0.14323127399999999"/>
    <n v="0.11935939499999999"/>
    <n v="0.109128589"/>
    <n v="0.102308053"/>
    <n v="0.102308053"/>
    <m/>
  </r>
  <r>
    <x v="1"/>
    <s v="DE"/>
    <s v="process_emissions"/>
    <s v="Industry"/>
    <x v="27"/>
    <s v="Kelheim"/>
    <x v="1"/>
    <s v="CO2 capture"/>
    <m/>
    <n v="48.890949999999997"/>
    <n v="11.932119999999999"/>
    <s v="CO2-Abscheidung [Mt/a]"/>
    <n v="0.14012201499999999"/>
    <n v="0.108983789"/>
    <n v="0.130780547"/>
    <n v="0.108983789"/>
    <n v="9.9642322000000005E-2"/>
    <n v="9.3414677000000002E-2"/>
    <n v="9.3414677000000002E-2"/>
    <m/>
  </r>
  <r>
    <x v="1"/>
    <s v="DE"/>
    <s v="process_emissions"/>
    <s v="Industry"/>
    <x v="28"/>
    <s v="Wuppertal, Kreisfreie Stadt"/>
    <x v="1"/>
    <s v="CO2 capture"/>
    <m/>
    <n v="51.247683000000002"/>
    <n v="7.0445830000000003"/>
    <s v="CO2-Abscheidung [Mt/a]"/>
    <n v="0.11501481299999999"/>
    <n v="8.9455965999999998E-2"/>
    <n v="0.107347159"/>
    <n v="8.9455965999999998E-2"/>
    <n v="8.1788312000000002E-2"/>
    <n v="7.6676542E-2"/>
    <n v="7.6676542E-2"/>
    <m/>
  </r>
  <r>
    <x v="1"/>
    <s v="DE"/>
    <s v="process_emissions"/>
    <s v="Industry"/>
    <x v="29"/>
    <s v="Harz"/>
    <x v="1"/>
    <s v="CO2 capture"/>
    <m/>
    <n v="51.755471"/>
    <n v="10.825817000000001"/>
    <s v="CO2-Abscheidung [Mt/a]"/>
    <n v="0.388301813"/>
    <n v="0.30201252200000001"/>
    <n v="0.36241502599999997"/>
    <n v="0.30201252200000001"/>
    <n v="0.27612573400000001"/>
    <n v="0.258867876"/>
    <n v="0.258867876"/>
    <m/>
  </r>
  <r>
    <x v="1"/>
    <s v="DE"/>
    <s v="process_emissions"/>
    <s v="Industry"/>
    <x v="30"/>
    <s v="LÃ¶rrach"/>
    <x v="1"/>
    <s v="CO2 capture"/>
    <m/>
    <n v="47.658802999999999"/>
    <n v="7.5460190000000003"/>
    <s v="CO2-Abscheidung [Mt/a]"/>
    <n v="8.5133941000000005E-2"/>
    <n v="6.6215286999999998E-2"/>
    <n v="7.9458345E-2"/>
    <n v="6.6215286999999998E-2"/>
    <n v="6.0539691E-2"/>
    <n v="5.6755960000000001E-2"/>
    <n v="5.6755960000000001E-2"/>
    <m/>
  </r>
  <r>
    <x v="1"/>
    <s v="DE"/>
    <s v="process_emissions"/>
    <s v="Industry"/>
    <x v="27"/>
    <s v="Kelheim"/>
    <x v="1"/>
    <s v="CO2 capture"/>
    <m/>
    <n v="49.008715000000002"/>
    <n v="11.824687000000001"/>
    <s v="CO2-Abscheidung [Mt/a]"/>
    <n v="0.14012201499999999"/>
    <n v="0.108983789"/>
    <n v="0.130780547"/>
    <n v="0.108983789"/>
    <n v="9.9642322000000005E-2"/>
    <n v="9.3414677000000002E-2"/>
    <n v="9.3414677000000002E-2"/>
    <m/>
  </r>
  <r>
    <x v="1"/>
    <s v="DE"/>
    <s v="process_emissions"/>
    <s v="Industry"/>
    <x v="31"/>
    <s v="Olpe"/>
    <x v="1"/>
    <s v="CO2 capture"/>
    <m/>
    <n v="51.140329999999999"/>
    <n v="8.025404"/>
    <s v="CO2-Abscheidung [Mt/a]"/>
    <n v="2.4596616000000002E-2"/>
    <n v="1.9130701E-2"/>
    <n v="2.2956840999999999E-2"/>
    <n v="1.9130701E-2"/>
    <n v="1.7490927E-2"/>
    <n v="1.6397743999999999E-2"/>
    <n v="1.6397743999999999E-2"/>
    <m/>
  </r>
  <r>
    <x v="1"/>
    <s v="DE"/>
    <s v="process_emissions"/>
    <s v="Industry"/>
    <x v="32"/>
    <s v="Limburg-Weilburg"/>
    <x v="1"/>
    <s v="CO2 capture"/>
    <m/>
    <n v="50.419099000000003"/>
    <n v="8.1118000000000006"/>
    <s v="CO2-Abscheidung [Mt/a]"/>
    <n v="0.13685265599999999"/>
    <n v="0.106440954"/>
    <n v="0.12772914499999999"/>
    <n v="0.106440954"/>
    <n v="9.7317444000000003E-2"/>
    <n v="9.1235103999999997E-2"/>
    <n v="9.1235103999999997E-2"/>
    <m/>
  </r>
  <r>
    <x v="1"/>
    <s v="DE"/>
    <s v="process_emissions"/>
    <s v="Industry"/>
    <x v="33"/>
    <s v="Rhein-Lahn-Kreis"/>
    <x v="1"/>
    <s v="CO2 capture"/>
    <m/>
    <n v="50.317605"/>
    <n v="8.0657010000000007"/>
    <s v="CO2-Abscheidung [Mt/a]"/>
    <n v="0.14754278300000001"/>
    <n v="0.114755498"/>
    <n v="0.13770659800000001"/>
    <n v="0.114755498"/>
    <n v="0.104919313"/>
    <n v="9.8361855999999998E-2"/>
    <n v="9.8361855999999998E-2"/>
    <m/>
  </r>
  <r>
    <x v="1"/>
    <s v="DE"/>
    <s v="process_emissions"/>
    <s v="Industry"/>
    <x v="10"/>
    <s v="Soest"/>
    <x v="1"/>
    <s v="CO2 capture"/>
    <m/>
    <n v="51.436858999999998"/>
    <n v="8.3738720000000004"/>
    <s v="CO2-Abscheidung [Mt/a]"/>
    <n v="6.9950278000000005E-2"/>
    <n v="5.4405771999999998E-2"/>
    <n v="6.5286925999999995E-2"/>
    <n v="5.4405771999999998E-2"/>
    <n v="4.9742420000000002E-2"/>
    <n v="4.6633518999999998E-2"/>
    <n v="4.6633518999999998E-2"/>
    <m/>
  </r>
  <r>
    <x v="1"/>
    <s v="DE"/>
    <s v="process_emissions"/>
    <s v="Industry"/>
    <x v="34"/>
    <s v="Regensburg, Kreisfreie Stadt"/>
    <x v="1"/>
    <s v="CO2 capture"/>
    <m/>
    <n v="49.029909000000004"/>
    <n v="12.1388"/>
    <s v="CO2-Abscheidung [Mt/a]"/>
    <n v="7.8780244999999999E-2"/>
    <n v="6.1273524000000003E-2"/>
    <n v="7.3528228000000001E-2"/>
    <n v="6.1273524000000003E-2"/>
    <n v="5.6021506999999998E-2"/>
    <n v="5.2520163000000002E-2"/>
    <n v="5.2520163000000002E-2"/>
    <m/>
  </r>
  <r>
    <x v="1"/>
    <s v="DE"/>
    <s v="process_emissions"/>
    <s v="Industry"/>
    <x v="13"/>
    <s v="Vulkaneifel"/>
    <x v="1"/>
    <s v="CO2 capture"/>
    <m/>
    <n v="50.334173999999997"/>
    <n v="6.7668109999999997"/>
    <s v="CO2-Abscheidung [Mt/a]"/>
    <n v="2.570391E-2"/>
    <n v="1.9991930000000002E-2"/>
    <n v="2.3990316000000001E-2"/>
    <n v="1.9991930000000002E-2"/>
    <n v="1.8278335999999999E-2"/>
    <n v="1.7135939999999999E-2"/>
    <n v="1.7135939999999999E-2"/>
    <m/>
  </r>
  <r>
    <x v="1"/>
    <s v="DE"/>
    <s v="process_emissions"/>
    <s v="Industry"/>
    <x v="35"/>
    <s v="GÃ¼tersloh"/>
    <x v="1"/>
    <s v="CO2 capture"/>
    <m/>
    <n v="52.040866999999999"/>
    <n v="8.3994090000000003"/>
    <s v="CO2-Abscheidung [Mt/a]"/>
    <n v="4.4982670000000002E-3"/>
    <n v="3.4986520000000001E-3"/>
    <n v="4.198383E-3"/>
    <n v="3.4986520000000001E-3"/>
    <n v="3.1987679999999998E-3"/>
    <n v="2.998845E-3"/>
    <n v="2.998845E-3"/>
    <m/>
  </r>
  <r>
    <x v="1"/>
    <s v="DE"/>
    <s v="process_emissions"/>
    <s v="Industry"/>
    <x v="13"/>
    <s v="Vulkaneifel"/>
    <x v="1"/>
    <s v="CO2 capture"/>
    <m/>
    <n v="50.230564000000001"/>
    <n v="6.6829239999999999"/>
    <s v="CO2-Abscheidung [Mt/a]"/>
    <n v="1.29658E-4"/>
    <n v="1.00845E-4"/>
    <n v="1.21014E-4"/>
    <n v="1.00845E-4"/>
    <n v="9.2200999999999994E-5"/>
    <n v="8.6438400000000002E-5"/>
    <n v="8.6438400000000002E-5"/>
    <m/>
  </r>
  <r>
    <x v="1"/>
    <s v="DE"/>
    <s v="process_emissions"/>
    <s v="Industry"/>
    <x v="36"/>
    <s v="Mettmann"/>
    <x v="1"/>
    <s v="CO2 capture"/>
    <m/>
    <n v="51.296801000000002"/>
    <n v="7.0149359999999996"/>
    <s v="CO2-Abscheidung [Mt/a]"/>
    <n v="0.91869605899999995"/>
    <n v="0.71454137900000003"/>
    <n v="0.85744965500000003"/>
    <n v="0.71454137900000003"/>
    <n v="0.653294975"/>
    <n v="0.61246403900000002"/>
    <n v="0.61246403900000002"/>
    <m/>
  </r>
  <r>
    <x v="1"/>
    <s v="DE"/>
    <s v="process_emissions"/>
    <s v="Industry"/>
    <x v="37"/>
    <s v="Hochsauerlandkreis"/>
    <x v="1"/>
    <s v="CO2 capture"/>
    <m/>
    <n v="51.394948999999997"/>
    <n v="8.6849950000000007"/>
    <s v="CO2-Abscheidung [Mt/a]"/>
    <n v="3.2763151999999997E-2"/>
    <n v="2.5482451E-2"/>
    <n v="3.0578942000000001E-2"/>
    <n v="2.5482451E-2"/>
    <n v="2.3298241000000001E-2"/>
    <n v="2.1842100999999999E-2"/>
    <n v="2.1842100999999999E-2"/>
    <m/>
  </r>
  <r>
    <x v="1"/>
    <s v="DE"/>
    <s v="process_emissions"/>
    <s v="Industry"/>
    <x v="38"/>
    <s v="MÃ¤rkischer Kreis"/>
    <x v="1"/>
    <s v="CO2 capture"/>
    <m/>
    <n v="51.397084999999997"/>
    <n v="7.8406979999999997"/>
    <s v="CO2-Abscheidung [Mt/a]"/>
    <n v="0.39661315000000003"/>
    <n v="0.308476894"/>
    <n v="0.370172273"/>
    <n v="0.308476894"/>
    <n v="0.282036018"/>
    <n v="0.26440876699999999"/>
    <n v="0.26440876699999999"/>
    <m/>
  </r>
  <r>
    <x v="1"/>
    <s v="DE"/>
    <s v="process_emissions"/>
    <s v="Industry"/>
    <x v="39"/>
    <s v="Hameln-Pyrmont"/>
    <x v="1"/>
    <s v="CO2 capture"/>
    <m/>
    <n v="52.059196999999998"/>
    <n v="9.5886659999999999"/>
    <s v="CO2-Abscheidung [Mt/a]"/>
    <n v="4.9156319999999996E-3"/>
    <n v="3.8232689999999998E-3"/>
    <n v="4.5879229999999998E-3"/>
    <n v="3.8232689999999998E-3"/>
    <n v="3.4955609999999999E-3"/>
    <n v="3.277088E-3"/>
    <n v="3.277088E-3"/>
    <m/>
  </r>
  <r>
    <x v="1"/>
    <s v="DE"/>
    <s v="process_emissions"/>
    <s v="Industry"/>
    <x v="8"/>
    <s v="Steinfurt"/>
    <x v="1"/>
    <s v="CO2 capture"/>
    <m/>
    <n v="52.264046999999998"/>
    <n v="7.3968769999999999"/>
    <s v="CO2-Abscheidung [Mt/a]"/>
    <n v="1.1933704999999999E-2"/>
    <n v="9.28177E-3"/>
    <n v="1.1138125E-2"/>
    <n v="9.28177E-3"/>
    <n v="8.4861899999999994E-3"/>
    <n v="7.9558029999999991E-3"/>
    <n v="7.9558029999999991E-3"/>
    <m/>
  </r>
  <r>
    <x v="1"/>
    <s v="DE"/>
    <s v="process_emissions"/>
    <s v="Industry"/>
    <x v="19"/>
    <s v="Donau-Ries"/>
    <x v="1"/>
    <s v="CO2 capture"/>
    <m/>
    <n v="48.775784999999999"/>
    <n v="10.699441999999999"/>
    <s v="CO2-Abscheidung [Mt/a]"/>
    <n v="7.941339E-2"/>
    <n v="6.1765970000000003E-2"/>
    <n v="7.4119164000000001E-2"/>
    <n v="6.1765970000000003E-2"/>
    <n v="5.6471743999999997E-2"/>
    <n v="5.2942259999999998E-2"/>
    <n v="5.2942259999999998E-2"/>
    <m/>
  </r>
  <r>
    <x v="1"/>
    <s v="DE"/>
    <s v="process_emissions"/>
    <s v="Industry"/>
    <x v="8"/>
    <s v="Steinfurt"/>
    <x v="1"/>
    <s v="CO2 capture"/>
    <m/>
    <n v="52.162646000000002"/>
    <n v="7.968648"/>
    <s v="CO2-Abscheidung [Mt/a]"/>
    <n v="7.2120859999999995E-2"/>
    <n v="5.6094001999999997E-2"/>
    <n v="6.7312802000000005E-2"/>
    <n v="5.6094001999999997E-2"/>
    <n v="5.1285944999999999E-2"/>
    <n v="4.8080573000000001E-2"/>
    <n v="4.8080573000000001E-2"/>
    <m/>
  </r>
  <r>
    <x v="1"/>
    <s v="DE"/>
    <s v="process_emissions"/>
    <s v="Industry"/>
    <x v="40"/>
    <s v="Kulmbach"/>
    <x v="1"/>
    <s v="CO2 capture"/>
    <m/>
    <n v="50.027914000000003"/>
    <n v="11.308923"/>
    <s v="CO2-Abscheidung [Mt/a]"/>
    <n v="1.658103E-3"/>
    <n v="1.289636E-3"/>
    <n v="1.5475630000000001E-3"/>
    <n v="1.289636E-3"/>
    <n v="1.1790959999999999E-3"/>
    <n v="1.1054019999999999E-3"/>
    <n v="1.1054019999999999E-3"/>
    <m/>
  </r>
  <r>
    <x v="1"/>
    <s v="DE"/>
    <s v="process_emissions"/>
    <s v="Industry"/>
    <x v="41"/>
    <s v="Hildesheim"/>
    <x v="1"/>
    <s v="CO2 capture"/>
    <m/>
    <n v="52.170476999999998"/>
    <n v="9.7933900000000005"/>
    <s v="CO2-Abscheidung [Mt/a]"/>
    <n v="6.3428595000000004E-2"/>
    <n v="4.9333351999999997E-2"/>
    <n v="5.9200021999999998E-2"/>
    <n v="4.9333351999999997E-2"/>
    <n v="4.5104778999999998E-2"/>
    <n v="4.2285730000000001E-2"/>
    <n v="4.2285730000000001E-2"/>
    <m/>
  </r>
  <r>
    <x v="1"/>
    <s v="DE"/>
    <s v="process_emissions"/>
    <s v="Industry"/>
    <x v="42"/>
    <s v="WolfenbÃ¼ttel"/>
    <x v="1"/>
    <s v="CO2 capture"/>
    <m/>
    <n v="52.023237000000002"/>
    <n v="10.545916999999999"/>
    <s v="CO2-Abscheidung [Mt/a]"/>
    <n v="3.1327926999999998E-2"/>
    <n v="2.4366166000000002E-2"/>
    <n v="2.9239398999999999E-2"/>
    <n v="2.4366166000000002E-2"/>
    <n v="2.2277636999999999E-2"/>
    <n v="2.0885285E-2"/>
    <n v="2.0885285E-2"/>
    <m/>
  </r>
  <r>
    <x v="1"/>
    <s v="DE"/>
    <s v="process_emissions"/>
    <s v="Industry"/>
    <x v="43"/>
    <s v="BÃ¶rde"/>
    <x v="1"/>
    <s v="CO2 capture"/>
    <m/>
    <n v="52.071129999999997"/>
    <n v="11.385047999999999"/>
    <s v="CO2-Abscheidung [Mt/a]"/>
    <n v="5.1052445000000002E-2"/>
    <n v="3.9707458000000001E-2"/>
    <n v="4.7648949000000003E-2"/>
    <n v="3.9707458000000001E-2"/>
    <n v="3.6303961000000003E-2"/>
    <n v="3.4034964000000001E-2"/>
    <n v="3.4034964000000001E-2"/>
    <m/>
  </r>
  <r>
    <x v="1"/>
    <s v="DE"/>
    <s v="process_emissions"/>
    <s v="Industry"/>
    <x v="44"/>
    <s v="Uelzen"/>
    <x v="1"/>
    <s v="CO2 capture"/>
    <m/>
    <n v="52.977111999999998"/>
    <n v="10.558517999999999"/>
    <s v="CO2-Abscheidung [Mt/a]"/>
    <n v="7.6179047999999999E-2"/>
    <n v="5.9250371000000003E-2"/>
    <n v="7.1100444999999998E-2"/>
    <n v="5.9250371000000003E-2"/>
    <n v="5.4171768000000002E-2"/>
    <n v="5.0786032000000002E-2"/>
    <n v="5.0786032000000002E-2"/>
    <m/>
  </r>
  <r>
    <x v="1"/>
    <s v="DE"/>
    <s v="process_emissions"/>
    <s v="Industry"/>
    <x v="45"/>
    <s v="Peine"/>
    <x v="1"/>
    <s v="CO2 capture"/>
    <m/>
    <n v="52.233195000000002"/>
    <n v="10.034605000000001"/>
    <s v="CO2-Abscheidung [Mt/a]"/>
    <n v="2.7071466999999998E-2"/>
    <n v="2.1055585000000002E-2"/>
    <n v="2.5266701999999999E-2"/>
    <n v="2.1055585000000002E-2"/>
    <n v="1.9250821000000001E-2"/>
    <n v="1.8047645000000001E-2"/>
    <n v="1.8047645000000001E-2"/>
    <m/>
  </r>
  <r>
    <x v="1"/>
    <s v="DE"/>
    <s v="process_emissions"/>
    <s v="Industry"/>
    <x v="46"/>
    <s v="Werra-MeiÃŸner-Kreis"/>
    <x v="1"/>
    <s v="CO2 capture"/>
    <m/>
    <n v="51.205803000000003"/>
    <n v="9.9074449999999992"/>
    <s v="CO2-Abscheidung [Mt/a]"/>
    <n v="2.3620398000000001E-2"/>
    <n v="1.8371420999999999E-2"/>
    <n v="2.2045704999999999E-2"/>
    <n v="1.8371420999999999E-2"/>
    <n v="1.6796727000000001E-2"/>
    <n v="1.5746932000000002E-2"/>
    <n v="1.5746932000000002E-2"/>
    <m/>
  </r>
  <r>
    <x v="1"/>
    <s v="DE"/>
    <s v="process_emissions"/>
    <s v="Industry"/>
    <x v="3"/>
    <s v="Alb-Donau-Kreis"/>
    <x v="1"/>
    <s v="CO2 capture"/>
    <m/>
    <n v="48.423419000000003"/>
    <n v="9.9041779999999999"/>
    <s v="CO2-Abscheidung [Mt/a]"/>
    <n v="7.0400294000000002E-2"/>
    <n v="5.4755784000000002E-2"/>
    <n v="6.5706941000000005E-2"/>
    <n v="5.4755784000000002E-2"/>
    <n v="5.0062430999999998E-2"/>
    <n v="4.6933529000000002E-2"/>
    <n v="4.6933529000000002E-2"/>
    <m/>
  </r>
  <r>
    <x v="1"/>
    <s v="DE"/>
    <s v="process_emissions"/>
    <s v="Industry"/>
    <x v="47"/>
    <s v="Neumarkt i. d. OPf."/>
    <x v="1"/>
    <s v="CO2 capture"/>
    <m/>
    <n v="49.364916000000001"/>
    <n v="11.604835"/>
    <s v="CO2-Abscheidung [Mt/a]"/>
    <n v="2.4093127999999998E-2"/>
    <n v="1.8739098999999999E-2"/>
    <n v="2.2486919000000001E-2"/>
    <n v="1.8739098999999999E-2"/>
    <n v="1.7132891000000001E-2"/>
    <n v="1.6062085E-2"/>
    <n v="1.6062085E-2"/>
    <m/>
  </r>
  <r>
    <x v="1"/>
    <s v="DE"/>
    <s v="process_emissions"/>
    <s v="Industry"/>
    <x v="48"/>
    <s v="DÃ¼ren"/>
    <x v="1"/>
    <s v="CO2 capture"/>
    <m/>
    <n v="50.915255000000002"/>
    <n v="6.3715789999999997"/>
    <s v="CO2-Abscheidung [Mt/a]"/>
    <n v="8.5499725999999998E-2"/>
    <n v="6.6499787000000005E-2"/>
    <n v="7.9799745000000005E-2"/>
    <n v="6.6499787000000005E-2"/>
    <n v="6.0799805999999998E-2"/>
    <n v="5.6999818000000001E-2"/>
    <n v="5.6999818000000001E-2"/>
    <m/>
  </r>
  <r>
    <x v="1"/>
    <s v="DE"/>
    <s v="process_emissions"/>
    <s v="Industry"/>
    <x v="49"/>
    <s v="Euskirchen"/>
    <x v="1"/>
    <s v="CO2 capture"/>
    <m/>
    <n v="50.657406000000002"/>
    <n v="6.8105380000000002"/>
    <s v="CO2-Abscheidung [Mt/a]"/>
    <n v="4.1957485000000003E-2"/>
    <n v="3.2633598999999999E-2"/>
    <n v="3.9160318999999999E-2"/>
    <n v="3.2633598999999999E-2"/>
    <n v="2.9836433999999998E-2"/>
    <n v="2.7971657E-2"/>
    <n v="2.7971657E-2"/>
    <m/>
  </r>
  <r>
    <x v="1"/>
    <s v="DE"/>
    <s v="process_emissions"/>
    <s v="Industry"/>
    <x v="50"/>
    <s v="Lippe"/>
    <x v="1"/>
    <s v="CO2 capture"/>
    <m/>
    <n v="51.985916000000003"/>
    <n v="8.8075480000000006"/>
    <s v="CO2-Abscheidung [Mt/a]"/>
    <n v="2.1625373999999999E-2"/>
    <n v="1.6819735999999998E-2"/>
    <n v="2.0183683000000001E-2"/>
    <n v="1.6819735999999998E-2"/>
    <n v="1.5378044E-2"/>
    <n v="1.4416916E-2"/>
    <n v="1.4416916E-2"/>
    <m/>
  </r>
  <r>
    <x v="1"/>
    <s v="DE"/>
    <s v="process_emissions"/>
    <s v="Industry"/>
    <x v="51"/>
    <s v="Kleve"/>
    <x v="1"/>
    <s v="CO2 capture"/>
    <m/>
    <n v="51.729120999999999"/>
    <n v="6.3590609999999996"/>
    <s v="CO2-Abscheidung [Mt/a]"/>
    <n v="2.1348077E-2"/>
    <n v="1.660406E-2"/>
    <n v="1.9924872E-2"/>
    <n v="1.660406E-2"/>
    <n v="1.5180855E-2"/>
    <n v="1.4232052E-2"/>
    <n v="1.4232052E-2"/>
    <m/>
  </r>
  <r>
    <x v="1"/>
    <s v="DE"/>
    <s v="process_emissions"/>
    <s v="Industry"/>
    <x v="21"/>
    <s v="Salzlandkreis"/>
    <x v="1"/>
    <s v="CO2 capture"/>
    <m/>
    <n v="51.698058000000003"/>
    <n v="11.757585000000001"/>
    <s v="CO2-Abscheidung [Mt/a]"/>
    <n v="5.2051849999999997E-2"/>
    <n v="4.0484772000000002E-2"/>
    <n v="4.8581726999999998E-2"/>
    <n v="4.0484772000000002E-2"/>
    <n v="3.7014648999999997E-2"/>
    <n v="3.4701232999999998E-2"/>
    <n v="3.4701232999999998E-2"/>
    <m/>
  </r>
  <r>
    <x v="1"/>
    <s v="DE"/>
    <s v="process_emissions"/>
    <s v="Industry"/>
    <x v="10"/>
    <s v="Soest"/>
    <x v="1"/>
    <s v="CO2 capture"/>
    <m/>
    <n v="51.597330999999997"/>
    <n v="8.3411760000000008"/>
    <s v="CO2-Abscheidung [Mt/a]"/>
    <n v="5.7637064000000002E-2"/>
    <n v="4.4828828000000001E-2"/>
    <n v="5.3794593000000002E-2"/>
    <n v="4.4828828000000001E-2"/>
    <n v="4.0986357000000001E-2"/>
    <n v="3.8424710000000001E-2"/>
    <n v="3.8424710000000001E-2"/>
    <m/>
  </r>
  <r>
    <x v="1"/>
    <s v="DE"/>
    <s v="process_emissions"/>
    <s v="Industry"/>
    <x v="52"/>
    <s v="Oder-Spree"/>
    <x v="1"/>
    <s v="CO2 capture"/>
    <m/>
    <n v="52.169490000000003"/>
    <n v="14.626637000000001"/>
    <s v="CO2-Abscheidung [Mt/a]"/>
    <n v="7.2417085000000006E-2"/>
    <n v="5.6324398999999997E-2"/>
    <n v="6.7589279000000002E-2"/>
    <n v="5.6324398999999997E-2"/>
    <n v="5.1496594E-2"/>
    <n v="4.8278056999999999E-2"/>
    <n v="4.8278056999999999E-2"/>
    <m/>
  </r>
  <r>
    <x v="1"/>
    <s v="DE"/>
    <s v="process_emissions"/>
    <s v="Industry"/>
    <x v="24"/>
    <s v="Greiz"/>
    <x v="1"/>
    <s v="CO2 capture"/>
    <m/>
    <n v="50.944513999999998"/>
    <n v="11.988065000000001"/>
    <s v="CO2-Abscheidung [Mt/a]"/>
    <n v="3.2936343999999999E-2"/>
    <n v="2.5617157000000002E-2"/>
    <n v="3.0740587999999999E-2"/>
    <n v="2.5617157000000002E-2"/>
    <n v="2.3421399999999998E-2"/>
    <n v="2.1957562999999999E-2"/>
    <n v="2.1957562999999999E-2"/>
    <m/>
  </r>
  <r>
    <x v="1"/>
    <s v="DE"/>
    <s v="process_emissions"/>
    <s v="Industry"/>
    <x v="53"/>
    <s v="Vorpommern-Greifswald"/>
    <x v="1"/>
    <s v="CO2 capture"/>
    <m/>
    <n v="53.853903000000003"/>
    <n v="13.708684"/>
    <s v="CO2-Abscheidung [Mt/a]"/>
    <n v="3.9175997999999997E-2"/>
    <n v="3.0470220999999999E-2"/>
    <n v="3.6564264999999999E-2"/>
    <n v="3.0470220999999999E-2"/>
    <n v="2.7858488000000001E-2"/>
    <n v="2.6117332E-2"/>
    <n v="2.6117332E-2"/>
    <m/>
  </r>
  <r>
    <x v="1"/>
    <s v="DE"/>
    <s v="process_emissions"/>
    <s v="Industry"/>
    <x v="54"/>
    <s v="HÃ¶xter"/>
    <x v="1"/>
    <s v="CO2 capture"/>
    <m/>
    <n v="51.491359000000003"/>
    <n v="9.1656840000000006"/>
    <s v="CO2-Abscheidung [Mt/a]"/>
    <n v="1.6134327E-2"/>
    <n v="1.2548920999999999E-2"/>
    <n v="1.5058706E-2"/>
    <n v="1.2548920999999999E-2"/>
    <n v="1.1473298999999999E-2"/>
    <n v="1.0756218E-2"/>
    <n v="1.0756218E-2"/>
    <m/>
  </r>
  <r>
    <x v="1"/>
    <s v="DE"/>
    <s v="process_emissions"/>
    <s v="Industry"/>
    <x v="55"/>
    <s v="Schwalm-Eder-Kreis"/>
    <x v="1"/>
    <s v="CO2 capture"/>
    <m/>
    <n v="51.102179999999997"/>
    <n v="9.3601209999999995"/>
    <s v="CO2-Abscheidung [Mt/a]"/>
    <n v="1.9918057999999999E-2"/>
    <n v="1.5491823E-2"/>
    <n v="1.8590188000000001E-2"/>
    <n v="1.5491823E-2"/>
    <n v="1.4163952E-2"/>
    <n v="1.3278705E-2"/>
    <n v="1.3278705E-2"/>
    <m/>
  </r>
  <r>
    <x v="1"/>
    <s v="DE"/>
    <s v="process_emissions"/>
    <s v="Industry"/>
    <x v="56"/>
    <s v="Heilbronn, Landkreis"/>
    <x v="1"/>
    <s v="CO2 capture"/>
    <m/>
    <n v="49.243552000000001"/>
    <n v="9.1805129999999995"/>
    <s v="CO2-Abscheidung [Mt/a]"/>
    <n v="3.6359493999999999E-2"/>
    <n v="2.8279606999999998E-2"/>
    <n v="3.3935528E-2"/>
    <n v="2.8279606999999998E-2"/>
    <n v="2.5855639999999999E-2"/>
    <n v="2.4239663000000002E-2"/>
    <n v="2.4239663000000002E-2"/>
    <m/>
  </r>
  <r>
    <x v="1"/>
    <s v="DE"/>
    <s v="process_emissions"/>
    <s v="Industry"/>
    <x v="57"/>
    <s v="WÃ¼rzburg, Landkreis"/>
    <x v="1"/>
    <s v="CO2 capture"/>
    <m/>
    <n v="49.665720999999998"/>
    <n v="10.080456999999999"/>
    <s v="CO2-Abscheidung [Mt/a]"/>
    <n v="6.8611114000000001E-2"/>
    <n v="5.3364199000000001E-2"/>
    <n v="6.4037039000000004E-2"/>
    <n v="5.3364199000000001E-2"/>
    <n v="4.8790124999999997E-2"/>
    <n v="4.5740742000000001E-2"/>
    <n v="4.5740742000000001E-2"/>
    <m/>
  </r>
  <r>
    <x v="1"/>
    <s v="DE"/>
    <s v="process_emissions"/>
    <s v="Industry"/>
    <x v="22"/>
    <s v="Burgenlandkreis"/>
    <x v="1"/>
    <s v="CO2 capture"/>
    <m/>
    <n v="51.053932000000003"/>
    <n v="12.110927"/>
    <s v="CO2-Abscheidung [Mt/a]"/>
    <n v="0.13392447599999999"/>
    <n v="0.104163481"/>
    <n v="0.124996178"/>
    <n v="0.104163481"/>
    <n v="9.5235183000000001E-2"/>
    <n v="8.9282983999999996E-2"/>
    <n v="8.9282983999999996E-2"/>
    <m/>
  </r>
  <r>
    <x v="1"/>
    <s v="DE"/>
    <s v="process_emissions"/>
    <s v="Industry"/>
    <x v="58"/>
    <s v="Elbe-Elster"/>
    <x v="1"/>
    <s v="CO2 capture"/>
    <m/>
    <n v="51.459828999999999"/>
    <n v="13.223212999999999"/>
    <s v="CO2-Abscheidung [Mt/a]"/>
    <n v="3.4265571000000002E-2"/>
    <n v="2.6651000000000001E-2"/>
    <n v="3.1981200000000001E-2"/>
    <n v="2.6651000000000001E-2"/>
    <n v="2.4366628000000001E-2"/>
    <n v="2.2843714000000001E-2"/>
    <n v="2.2843714000000001E-2"/>
    <m/>
  </r>
  <r>
    <x v="1"/>
    <s v="DE"/>
    <s v="process_emissions"/>
    <s v="Industry"/>
    <x v="19"/>
    <s v="Donau-Ries"/>
    <x v="1"/>
    <s v="CO2 capture"/>
    <m/>
    <n v="48.69791"/>
    <n v="10.909583"/>
    <s v="CO2-Abscheidung [Mt/a]"/>
    <n v="3.7691086999999998E-2"/>
    <n v="2.9315290000000001E-2"/>
    <n v="3.5178347999999998E-2"/>
    <n v="2.9315290000000001E-2"/>
    <n v="2.6802551000000001E-2"/>
    <n v="2.5127390999999999E-2"/>
    <n v="2.5127390999999999E-2"/>
    <m/>
  </r>
  <r>
    <x v="1"/>
    <s v="DE"/>
    <s v="process_emissions"/>
    <s v="Industry"/>
    <x v="59"/>
    <s v="Bad DÃ¼rkheim"/>
    <x v="1"/>
    <s v="CO2 capture"/>
    <m/>
    <n v="49.599576999999996"/>
    <n v="8.2196610000000003"/>
    <s v="CO2-Abscheidung [Mt/a]"/>
    <n v="6.7556344000000004E-2"/>
    <n v="5.2543823000000003E-2"/>
    <n v="6.3052588000000007E-2"/>
    <n v="5.2543823000000003E-2"/>
    <n v="4.8040066999999999E-2"/>
    <n v="4.5037563000000003E-2"/>
    <n v="4.5037563000000003E-2"/>
    <m/>
  </r>
  <r>
    <x v="1"/>
    <s v="DE"/>
    <s v="process_emissions"/>
    <s v="Industry"/>
    <x v="60"/>
    <s v="Deggendorf"/>
    <x v="1"/>
    <s v="CO2 capture"/>
    <m/>
    <n v="48.786760000000001"/>
    <n v="12.882771"/>
    <s v="CO2-Abscheidung [Mt/a]"/>
    <n v="5.9421039000000002E-2"/>
    <n v="4.6216364000000003E-2"/>
    <n v="5.5459636999999999E-2"/>
    <n v="4.6216364000000003E-2"/>
    <n v="4.2254961000000001E-2"/>
    <n v="3.9614025999999997E-2"/>
    <n v="3.9614025999999997E-2"/>
    <m/>
  </r>
  <r>
    <x v="1"/>
    <s v="DE"/>
    <s v="process_emissions"/>
    <s v="Industry"/>
    <x v="61"/>
    <s v="Breisgau-Hochschwarzwald"/>
    <x v="2"/>
    <s v="CO2 capture"/>
    <m/>
    <n v="47.891316660000001"/>
    <n v="7.6164636420000003"/>
    <s v="CO2-Abscheidung [Mt/a]"/>
    <n v="0"/>
    <n v="3.9440279999999996E-3"/>
    <n v="2.297486E-2"/>
    <n v="5.6290736000000001E-2"/>
    <n v="8.3387163E-2"/>
    <n v="0.115849047"/>
    <n v="0.115849047"/>
    <m/>
  </r>
  <r>
    <x v="1"/>
    <s v="DE"/>
    <s v="process_emissions"/>
    <s v="Industry"/>
    <x v="62"/>
    <s v="Kempten (Allgäu), Kreisfreie Stadt"/>
    <x v="2"/>
    <s v="CO2 capture"/>
    <m/>
    <n v="47.7592316"/>
    <n v="10.31880001"/>
    <s v="CO2-Abscheidung [Mt/a]"/>
    <n v="0"/>
    <n v="3.411051E-3"/>
    <n v="1.9870149E-2"/>
    <n v="4.8683878999999999E-2"/>
    <n v="7.2118627000000005E-2"/>
    <n v="0.100193771"/>
    <n v="0.100193771"/>
    <m/>
  </r>
  <r>
    <x v="1"/>
    <s v="DE"/>
    <s v="process_emissions"/>
    <s v="Industry"/>
    <x v="63"/>
    <s v="Rosenheim, Kreisfreie Stadt"/>
    <x v="2"/>
    <s v="CO2 capture"/>
    <m/>
    <n v="47.85607066"/>
    <n v="12.13358303"/>
    <s v="CO2-Abscheidung [Mt/a]"/>
    <n v="0"/>
    <n v="2.1319070000000002E-3"/>
    <n v="1.2418843000000001E-2"/>
    <n v="3.0427425000000001E-2"/>
    <n v="4.5074141999999998E-2"/>
    <n v="6.2621106999999995E-2"/>
    <n v="6.2621106999999995E-2"/>
    <m/>
  </r>
  <r>
    <x v="1"/>
    <s v="DE"/>
    <s v="process_emissions"/>
    <s v="Industry"/>
    <x v="64"/>
    <s v="Altötting"/>
    <x v="2"/>
    <s v="CO2 capture"/>
    <m/>
    <n v="48.184673170000003"/>
    <n v="12.738267240000001"/>
    <s v="CO2-Abscheidung [Mt/a]"/>
    <n v="0"/>
    <n v="5.6026510000000002E-3"/>
    <n v="3.2636720000000001E-2"/>
    <n v="7.9963272000000002E-2"/>
    <n v="0.118454846"/>
    <n v="0.16456826799999999"/>
    <n v="0.16456826799999999"/>
    <m/>
  </r>
  <r>
    <x v="1"/>
    <s v="DE"/>
    <s v="process_emissions"/>
    <s v="Industry"/>
    <x v="65"/>
    <s v="München, Kreisfreie Stadt"/>
    <x v="2"/>
    <s v="CO2 capture"/>
    <m/>
    <n v="48.181362759999999"/>
    <n v="11.637290269999999"/>
    <s v="CO2-Abscheidung [Mt/a]"/>
    <n v="0"/>
    <n v="1.5349730000000001E-2"/>
    <n v="8.9415672000000002E-2"/>
    <n v="0.219077457"/>
    <n v="0.32453382400000003"/>
    <n v="0.45087196800000001"/>
    <n v="0.45087196800000001"/>
    <m/>
  </r>
  <r>
    <x v="1"/>
    <s v="DE"/>
    <s v="process_emissions"/>
    <s v="Industry"/>
    <x v="66"/>
    <s v="Dachau"/>
    <x v="2"/>
    <s v="CO2 capture"/>
    <m/>
    <n v="48.234881199999997"/>
    <n v="11.35853928"/>
    <s v="CO2-Abscheidung [Mt/a]"/>
    <n v="0"/>
    <n v="2.7288410000000001E-3"/>
    <n v="1.5896119E-2"/>
    <n v="3.8947104000000003E-2"/>
    <n v="5.7694901999999999E-2"/>
    <n v="8.0155016999999995E-2"/>
    <n v="8.0155016999999995E-2"/>
    <m/>
  </r>
  <r>
    <x v="1"/>
    <s v="DE"/>
    <s v="process_emissions"/>
    <s v="Industry"/>
    <x v="67"/>
    <s v="Aichach-Friedberg"/>
    <x v="2"/>
    <s v="CO2 capture"/>
    <m/>
    <n v="48.401756519999999"/>
    <n v="10.933586930000001"/>
    <s v="CO2-Abscheidung [Mt/a]"/>
    <n v="0"/>
    <n v="5.5429579999999997E-3"/>
    <n v="3.2288993000000002E-2"/>
    <n v="7.9111303999999993E-2"/>
    <n v="0.11719277"/>
    <n v="0.162814877"/>
    <n v="0.162814877"/>
    <m/>
  </r>
  <r>
    <x v="1"/>
    <s v="DE"/>
    <s v="process_emissions"/>
    <s v="Industry"/>
    <x v="68"/>
    <s v="Neu-Ulm"/>
    <x v="2"/>
    <s v="CO2 capture"/>
    <m/>
    <n v="48.299242839999998"/>
    <n v="10.13459591"/>
    <s v="CO2-Abscheidung [Mt/a]"/>
    <n v="0"/>
    <n v="2.2385019999999999E-3"/>
    <n v="1.3039785999999999E-2"/>
    <n v="3.1948796000000002E-2"/>
    <n v="4.7327848999999998E-2"/>
    <n v="6.5752162000000003E-2"/>
    <n v="6.5752162000000003E-2"/>
    <m/>
  </r>
  <r>
    <x v="1"/>
    <s v="DE"/>
    <s v="process_emissions"/>
    <s v="Industry"/>
    <x v="69"/>
    <s v="Ulm, Stadtkreis"/>
    <x v="2"/>
    <s v="CO2 capture"/>
    <m/>
    <n v="48.363993919999999"/>
    <n v="9.9550238459999996"/>
    <s v="CO2-Abscheidung [Mt/a]"/>
    <n v="0"/>
    <n v="3.411051E-3"/>
    <n v="1.9870149E-2"/>
    <n v="4.8683878999999999E-2"/>
    <n v="7.2118627000000005E-2"/>
    <n v="0.100193771"/>
    <n v="0.100193771"/>
    <m/>
  </r>
  <r>
    <x v="1"/>
    <s v="DE"/>
    <s v="process_emissions"/>
    <s v="Industry"/>
    <x v="70"/>
    <s v="Göppingen"/>
    <x v="2"/>
    <s v="CO2 capture"/>
    <m/>
    <n v="48.682666310000002"/>
    <n v="9.6712464090000001"/>
    <s v="CO2-Abscheidung [Mt/a]"/>
    <n v="0"/>
    <n v="3.8284780000000002E-3"/>
    <n v="2.2301759000000001E-2"/>
    <n v="5.4641569000000001E-2"/>
    <n v="8.0944144999999995E-2"/>
    <n v="0.11245498299999999"/>
    <n v="0.11245498299999999"/>
    <m/>
  </r>
  <r>
    <x v="1"/>
    <s v="DE"/>
    <s v="process_emissions"/>
    <s v="Industry"/>
    <x v="71"/>
    <s v="Böblingen"/>
    <x v="2"/>
    <s v="CO2 capture"/>
    <m/>
    <n v="48.692656929999998"/>
    <n v="9.0629316150000001"/>
    <s v="CO2-Abscheidung [Mt/a]"/>
    <n v="0"/>
    <n v="3.3470940000000001E-3"/>
    <n v="1.9497583999999998E-2"/>
    <n v="4.7771056999999999E-2"/>
    <n v="7.0766403000000005E-2"/>
    <n v="9.8315136999999997E-2"/>
    <n v="9.8315136999999997E-2"/>
    <m/>
  </r>
  <r>
    <x v="1"/>
    <s v="DE"/>
    <s v="process_emissions"/>
    <s v="Industry"/>
    <x v="72"/>
    <s v="Stuttgart, Stadtkreis"/>
    <x v="2"/>
    <s v="CO2 capture"/>
    <m/>
    <n v="48.812675980000002"/>
    <n v="9.2192278539999997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1"/>
    <s v="DE"/>
    <s v="process_emissions"/>
    <s v="Industry"/>
    <x v="73"/>
    <s v="Eichstätt"/>
    <x v="2"/>
    <s v="CO2 capture"/>
    <m/>
    <n v="48.764951609999997"/>
    <n v="11.49198625"/>
    <s v="CO2-Abscheidung [Mt/a]"/>
    <n v="0"/>
    <n v="5.4363629999999996E-3"/>
    <n v="3.1668051000000003E-2"/>
    <n v="7.7589933E-2"/>
    <n v="0.11493906299999999"/>
    <n v="0.159683822"/>
    <n v="0.159683822"/>
    <m/>
  </r>
  <r>
    <x v="1"/>
    <s v="DE"/>
    <s v="process_emissions"/>
    <s v="Industry"/>
    <x v="16"/>
    <s v="Schwandorf"/>
    <x v="2"/>
    <s v="CO2 capture"/>
    <m/>
    <n v="49.310909559999999"/>
    <n v="12.085679600000001"/>
    <s v="CO2-Abscheidung [Mt/a]"/>
    <n v="0"/>
    <n v="9.5935810000000003E-3"/>
    <n v="5.5884795000000001E-2"/>
    <n v="0.13692341099999999"/>
    <n v="0.20283364000000001"/>
    <n v="0.28179497999999997"/>
    <n v="0.28179497999999997"/>
    <m/>
  </r>
  <r>
    <x v="1"/>
    <s v="DE"/>
    <s v="process_emissions"/>
    <s v="Industry"/>
    <x v="74"/>
    <s v="Nürnberg, Kreisfreie Stadt"/>
    <x v="2"/>
    <s v="CO2 capture"/>
    <m/>
    <n v="49.43652823"/>
    <n v="11.055938429999999"/>
    <s v="CO2-Abscheidung [Mt/a]"/>
    <n v="0"/>
    <n v="4.9137850000000004E-3"/>
    <n v="2.8623919000000001E-2"/>
    <n v="7.0131502999999998E-2"/>
    <n v="0.10389040099999999"/>
    <n v="0.14433401400000001"/>
    <n v="0.14433401400000001"/>
    <m/>
  </r>
  <r>
    <x v="1"/>
    <s v="DE"/>
    <s v="process_emissions"/>
    <s v="Industry"/>
    <x v="75"/>
    <s v="Ludwigshafen am Rhein, Kreisfreie Stadt"/>
    <x v="2"/>
    <s v="CO2 capture"/>
    <m/>
    <n v="49.48472941"/>
    <n v="8.4277331459999996"/>
    <s v="CO2-Abscheidung [Mt/a]"/>
    <n v="0"/>
    <n v="5.1165769999999998E-3"/>
    <n v="2.9805224000000002E-2"/>
    <n v="7.3025819000000006E-2"/>
    <n v="0.108177941"/>
    <n v="0.15029065599999999"/>
    <n v="0.15029065599999999"/>
    <m/>
  </r>
  <r>
    <x v="1"/>
    <s v="DE"/>
    <s v="process_emissions"/>
    <s v="Industry"/>
    <x v="76"/>
    <s v="Pirmasens, Kreisfreie Stadt"/>
    <x v="2"/>
    <s v="CO2 capture"/>
    <m/>
    <n v="49.228362009999998"/>
    <n v="7.5947836420000003"/>
    <s v="CO2-Abscheidung [Mt/a]"/>
    <n v="0"/>
    <n v="3.837432E-3"/>
    <n v="2.2353918E-2"/>
    <n v="5.4769364000000001E-2"/>
    <n v="8.1133456000000007E-2"/>
    <n v="0.112717992"/>
    <n v="0.112717992"/>
    <m/>
  </r>
  <r>
    <x v="1"/>
    <s v="DE"/>
    <s v="process_emissions"/>
    <s v="Industry"/>
    <x v="77"/>
    <s v="Neunkirchen"/>
    <x v="2"/>
    <s v="CO2 capture"/>
    <m/>
    <n v="49.338381650000002"/>
    <n v="7.1695241310000002"/>
    <s v="CO2-Abscheidung [Mt/a]"/>
    <n v="0"/>
    <n v="3.837432E-3"/>
    <n v="2.2353918E-2"/>
    <n v="5.4769364000000001E-2"/>
    <n v="8.1133456000000007E-2"/>
    <n v="0.112717992"/>
    <n v="0.112717992"/>
    <m/>
  </r>
  <r>
    <x v="1"/>
    <s v="DE"/>
    <s v="process_emissions"/>
    <s v="Industry"/>
    <x v="78"/>
    <s v="Regionalverband Saarbrücken"/>
    <x v="2"/>
    <s v="CO2 capture"/>
    <m/>
    <n v="49.21418405"/>
    <n v="6.8342256749999999"/>
    <s v="CO2-Abscheidung [Mt/a]"/>
    <n v="0"/>
    <n v="5.4363629999999996E-3"/>
    <n v="3.1668051000000003E-2"/>
    <n v="7.7589933E-2"/>
    <n v="0.11493906299999999"/>
    <n v="0.159683822"/>
    <n v="0.159683822"/>
    <m/>
  </r>
  <r>
    <x v="1"/>
    <s v="DE"/>
    <s v="process_emissions"/>
    <s v="Industry"/>
    <x v="79"/>
    <s v="Mannheim, Stadtkreis"/>
    <x v="2"/>
    <s v="CO2 capture"/>
    <m/>
    <n v="49.524153130000002"/>
    <n v="8.452034823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1"/>
    <s v="DE"/>
    <s v="process_emissions"/>
    <s v="Industry"/>
    <x v="80"/>
    <s v="Bamberg, Kreisfreie Stadt"/>
    <x v="2"/>
    <s v="CO2 capture"/>
    <m/>
    <n v="49.9112607"/>
    <n v="10.8544523"/>
    <s v="CO2-Abscheidung [Mt/a]"/>
    <n v="0"/>
    <n v="2.5445160000000001E-3"/>
    <n v="1.4822386E-2"/>
    <n v="3.6316347999999998E-2"/>
    <n v="5.3797791999999997E-2"/>
    <n v="7.4740795999999998E-2"/>
    <n v="7.4740795999999998E-2"/>
    <m/>
  </r>
  <r>
    <x v="1"/>
    <s v="DE"/>
    <s v="process_emissions"/>
    <s v="Industry"/>
    <x v="81"/>
    <s v="Coburg, Kreisfreie Stadt"/>
    <x v="2"/>
    <s v="CO2 capture"/>
    <m/>
    <n v="50.284546259999999"/>
    <n v="10.9548916"/>
    <s v="CO2-Abscheidung [Mt/a]"/>
    <n v="0"/>
    <n v="3.0273079999999998E-3"/>
    <n v="1.7634758E-2"/>
    <n v="4.3206942999999998E-2"/>
    <n v="6.4005281999999997E-2"/>
    <n v="8.8921971000000002E-2"/>
    <n v="8.8921971000000002E-2"/>
    <m/>
  </r>
  <r>
    <x v="1"/>
    <s v="DE"/>
    <s v="process_emissions"/>
    <s v="Industry"/>
    <x v="82"/>
    <s v="Schweinfurt, Kreisfreie Stadt"/>
    <x v="2"/>
    <s v="CO2 capture"/>
    <m/>
    <n v="50.030026589999999"/>
    <n v="10.22397774"/>
    <s v="CO2-Abscheidung [Mt/a]"/>
    <n v="0"/>
    <n v="4.1742740000000004E-3"/>
    <n v="2.4316094999999999E-2"/>
    <n v="5.9576896999999997E-2"/>
    <n v="8.8255169999999994E-2"/>
    <n v="0.122612127"/>
    <n v="0.122612127"/>
    <m/>
  </r>
  <r>
    <x v="1"/>
    <s v="DE"/>
    <s v="process_emissions"/>
    <s v="Industry"/>
    <x v="83"/>
    <s v="Würzburg, Kreisfreie Stadt"/>
    <x v="2"/>
    <s v="CO2 capture"/>
    <m/>
    <n v="49.79306038"/>
    <n v="9.9938927960000008"/>
    <s v="CO2-Abscheidung [Mt/a]"/>
    <n v="0"/>
    <n v="4.2638140000000003E-3"/>
    <n v="2.4837687000000001E-2"/>
    <n v="6.0854849000000003E-2"/>
    <n v="9.0148283999999995E-2"/>
    <n v="0.12524221299999999"/>
    <n v="0.12524221299999999"/>
    <m/>
  </r>
  <r>
    <x v="1"/>
    <s v="DE"/>
    <s v="process_emissions"/>
    <s v="Industry"/>
    <x v="84"/>
    <s v="Offenbach, Landkreis"/>
    <x v="2"/>
    <s v="CO2 capture"/>
    <m/>
    <n v="50.065175170000003"/>
    <n v="8.7686207950000004"/>
    <s v="CO2-Abscheidung [Mt/a]"/>
    <n v="0"/>
    <n v="6.395721E-3"/>
    <n v="3.7256530000000003E-2"/>
    <n v="9.1282273999999997E-2"/>
    <n v="0.13522242700000001"/>
    <n v="0.18786332"/>
    <n v="0.18786332"/>
    <m/>
  </r>
  <r>
    <x v="1"/>
    <s v="DE"/>
    <s v="process_emissions"/>
    <s v="Industry"/>
    <x v="85"/>
    <s v="Frankfurt am Main, Kreisfreie Stadt"/>
    <x v="2"/>
    <s v="CO2 capture"/>
    <m/>
    <n v="50.161785950000002"/>
    <n v="8.635333481"/>
    <s v="CO2-Abscheidung [Mt/a]"/>
    <n v="0"/>
    <n v="1.4390372E-2"/>
    <n v="8.3827192999999994E-2"/>
    <n v="0.20538511600000001"/>
    <n v="0.30425046"/>
    <n v="0.42269246999999999"/>
    <n v="0.42269246999999999"/>
    <m/>
  </r>
  <r>
    <x v="1"/>
    <s v="DE"/>
    <s v="process_emissions"/>
    <s v="Industry"/>
    <x v="11"/>
    <s v="Wiesbaden, Kreisfreie Stadt"/>
    <x v="2"/>
    <s v="CO2 capture"/>
    <m/>
    <n v="50.02556878"/>
    <n v="8.2429430860000004"/>
    <s v="CO2-Abscheidung [Mt/a]"/>
    <n v="0"/>
    <n v="7.2484840000000004E-3"/>
    <n v="4.2224066999999997E-2"/>
    <n v="0.103453244"/>
    <n v="0.15325208300000001"/>
    <n v="0.212911763"/>
    <n v="0.212911763"/>
    <m/>
  </r>
  <r>
    <x v="1"/>
    <s v="DE"/>
    <s v="process_emissions"/>
    <s v="Industry"/>
    <x v="11"/>
    <s v="Wiesbaden, Kreisfreie Stadt"/>
    <x v="2"/>
    <s v="CO2 capture"/>
    <m/>
    <n v="50.042577919999999"/>
    <n v="8.2625523960000002"/>
    <s v="CO2-Abscheidung [Mt/a]"/>
    <n v="0"/>
    <n v="4.1572179999999999E-3"/>
    <n v="2.4216745000000001E-2"/>
    <n v="5.9333478000000002E-2"/>
    <n v="8.7894577000000002E-2"/>
    <n v="0.122111158"/>
    <n v="0.122111158"/>
    <m/>
  </r>
  <r>
    <x v="1"/>
    <s v="DE"/>
    <s v="process_emissions"/>
    <s v="Industry"/>
    <x v="85"/>
    <s v="Frankfurt am Main, Kreisfreie Stadt"/>
    <x v="2"/>
    <s v="CO2 capture"/>
    <m/>
    <n v="50.07995081"/>
    <n v="8.5324263560000002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1"/>
    <s v="DE"/>
    <s v="process_emissions"/>
    <s v="Industry"/>
    <x v="86"/>
    <s v="Darmstadt, Kreisfreie Stadt"/>
    <x v="2"/>
    <s v="CO2 capture"/>
    <m/>
    <n v="49.883550450000001"/>
    <n v="8.6452617810000003"/>
    <s v="CO2-Abscheidung [Mt/a]"/>
    <n v="0"/>
    <n v="4.5196400000000001E-4"/>
    <n v="2.6327949999999998E-3"/>
    <n v="6.4506140000000003E-3"/>
    <n v="9.5557179999999995E-3"/>
    <n v="1.3275675000000001E-2"/>
    <n v="1.3275675000000001E-2"/>
    <m/>
  </r>
  <r>
    <x v="1"/>
    <s v="DE"/>
    <s v="process_emissions"/>
    <s v="Industry"/>
    <x v="87"/>
    <s v="Saalfeld-Rudolstadt"/>
    <x v="2"/>
    <s v="CO2 capture"/>
    <m/>
    <n v="50.686880760000001"/>
    <n v="11.33025072"/>
    <s v="CO2-Abscheidung [Mt/a]"/>
    <n v="0"/>
    <n v="1.705526E-3"/>
    <n v="9.9350749999999998E-3"/>
    <n v="2.4341939999999999E-2"/>
    <n v="3.6059314000000002E-2"/>
    <n v="5.0096885000000001E-2"/>
    <n v="5.0096885000000001E-2"/>
    <m/>
  </r>
  <r>
    <x v="1"/>
    <s v="DE"/>
    <s v="process_emissions"/>
    <s v="Industry"/>
    <x v="88"/>
    <s v="Suhl, Kreisfreie Stadt"/>
    <x v="2"/>
    <s v="CO2 capture"/>
    <m/>
    <n v="50.638619630000001"/>
    <n v="10.68675861"/>
    <s v="CO2-Abscheidung [Mt/a]"/>
    <n v="0"/>
    <n v="3.411051E-3"/>
    <n v="1.9870149E-2"/>
    <n v="4.8683878999999999E-2"/>
    <n v="7.2118627000000005E-2"/>
    <n v="0.100193771"/>
    <n v="0.100193771"/>
    <m/>
  </r>
  <r>
    <x v="1"/>
    <s v="DE"/>
    <s v="process_emissions"/>
    <s v="Industry"/>
    <x v="89"/>
    <s v="Gießen, Landkreis"/>
    <x v="2"/>
    <s v="CO2 capture"/>
    <m/>
    <n v="50.567930369999999"/>
    <n v="8.6788467249999997"/>
    <s v="CO2-Abscheidung [Mt/a]"/>
    <n v="0"/>
    <n v="1.108592E-3"/>
    <n v="6.4577990000000002E-3"/>
    <n v="1.5822261000000001E-2"/>
    <n v="2.3438554E-2"/>
    <n v="3.2562975000000001E-2"/>
    <n v="3.2562975000000001E-2"/>
    <m/>
  </r>
  <r>
    <x v="1"/>
    <s v="DE"/>
    <s v="process_emissions"/>
    <s v="Industry"/>
    <x v="90"/>
    <s v="Mayen-Koblenz"/>
    <x v="2"/>
    <s v="CO2 capture"/>
    <m/>
    <n v="50.434591400000002"/>
    <n v="7.4319558109999999"/>
    <s v="CO2-Abscheidung [Mt/a]"/>
    <n v="0"/>
    <n v="2.98467E-3"/>
    <n v="1.7386380999999999E-2"/>
    <n v="4.2598393999999998E-2"/>
    <n v="6.3103799000000002E-2"/>
    <n v="8.7669548999999999E-2"/>
    <n v="8.7669548999999999E-2"/>
    <m/>
  </r>
  <r>
    <x v="1"/>
    <s v="DE"/>
    <s v="process_emissions"/>
    <s v="Industry"/>
    <x v="91"/>
    <s v="Erfurt, Kreisfreie Stadt"/>
    <x v="2"/>
    <s v="CO2 capture"/>
    <m/>
    <n v="51.019662080000003"/>
    <n v="11.04083041"/>
    <s v="CO2-Abscheidung [Mt/a]"/>
    <n v="0"/>
    <n v="1.5989299999999999E-3"/>
    <n v="9.3141330000000005E-3"/>
    <n v="2.2820567999999999E-2"/>
    <n v="3.3805607000000001E-2"/>
    <n v="4.696583E-2"/>
    <n v="4.696583E-2"/>
    <m/>
  </r>
  <r>
    <x v="1"/>
    <s v="DE"/>
    <s v="process_emissions"/>
    <s v="Industry"/>
    <x v="92"/>
    <s v="Hersfeld-Rotenburg"/>
    <x v="2"/>
    <s v="CO2 capture"/>
    <m/>
    <n v="50.893422319999999"/>
    <n v="10.00017514"/>
    <s v="CO2-Abscheidung [Mt/a]"/>
    <n v="0"/>
    <n v="6.344555E-3"/>
    <n v="3.6958478000000003E-2"/>
    <n v="9.0552015999999999E-2"/>
    <n v="0.134140647"/>
    <n v="0.186360413"/>
    <n v="0.186360413"/>
    <m/>
  </r>
  <r>
    <x v="1"/>
    <s v="DE"/>
    <s v="process_emissions"/>
    <s v="Industry"/>
    <x v="93"/>
    <s v="Bonn, Kreisfreie Stadt"/>
    <x v="2"/>
    <s v="CO2 capture"/>
    <m/>
    <n v="50.73387829"/>
    <n v="7.0774461679999998"/>
    <s v="CO2-Abscheidung [Mt/a]"/>
    <n v="0"/>
    <n v="5.5429579999999997E-3"/>
    <n v="3.2288993000000002E-2"/>
    <n v="7.9111303999999993E-2"/>
    <n v="0.11719277"/>
    <n v="0.162814877"/>
    <n v="0.162814877"/>
    <m/>
  </r>
  <r>
    <x v="1"/>
    <s v="DE"/>
    <s v="process_emissions"/>
    <s v="Industry"/>
    <x v="94"/>
    <s v="Rhein-Erft-Kreis"/>
    <x v="2"/>
    <s v="CO2 capture"/>
    <m/>
    <n v="50.857043779999998"/>
    <n v="6.8430443250000001"/>
    <s v="CO2-Abscheidung [Mt/a]"/>
    <n v="0"/>
    <n v="6.822102E-3"/>
    <n v="3.9740299E-2"/>
    <n v="9.7367758999999998E-2"/>
    <n v="0.14423725500000001"/>
    <n v="0.200387541"/>
    <n v="0.200387541"/>
    <m/>
  </r>
  <r>
    <x v="1"/>
    <s v="DE"/>
    <s v="process_emissions"/>
    <s v="Industry"/>
    <x v="95"/>
    <s v="Städteregion Aachen"/>
    <x v="2"/>
    <s v="CO2 capture"/>
    <m/>
    <n v="50.840744149999999"/>
    <n v="6.3146604079999999"/>
    <s v="CO2-Abscheidung [Mt/a]"/>
    <n v="0"/>
    <n v="7.6748650000000003E-3"/>
    <n v="4.4707836000000001E-2"/>
    <n v="0.109538729"/>
    <n v="0.16226691200000001"/>
    <n v="0.22543598400000001"/>
    <n v="0.22543598400000001"/>
    <m/>
  </r>
  <r>
    <x v="1"/>
    <s v="DE"/>
    <s v="process_emissions"/>
    <s v="Industry"/>
    <x v="96"/>
    <s v="Köln, Kreisfreie Stadt"/>
    <x v="2"/>
    <s v="CO2 capture"/>
    <m/>
    <n v="51.000084209999997"/>
    <n v="6.9410077780000004"/>
    <s v="CO2-Abscheidung [Mt/a]"/>
    <n v="0"/>
    <n v="1.6735468999999999E-2"/>
    <n v="9.7487920000000006E-2"/>
    <n v="0.238855283"/>
    <n v="0.35383201600000003"/>
    <n v="0.49157568699999998"/>
    <n v="0.49157568699999998"/>
    <m/>
  </r>
  <r>
    <x v="1"/>
    <s v="DE"/>
    <s v="process_emissions"/>
    <s v="Industry"/>
    <x v="97"/>
    <s v="Leverkusen, Kreisfreie Stadt"/>
    <x v="2"/>
    <s v="CO2 capture"/>
    <m/>
    <n v="51.043500209999998"/>
    <n v="7.0033772010000002"/>
    <s v="CO2-Abscheidung [Mt/a]"/>
    <n v="0"/>
    <n v="5.9761609999999998E-3"/>
    <n v="3.4812502000000002E-2"/>
    <n v="8.5294156999999995E-2"/>
    <n v="0.126351835"/>
    <n v="0.17553948599999999"/>
    <n v="0.17553948599999999"/>
    <m/>
  </r>
  <r>
    <x v="1"/>
    <s v="DE"/>
    <s v="process_emissions"/>
    <s v="Industry"/>
    <x v="98"/>
    <s v="Solingen, Kreisfreie Stadt"/>
    <x v="2"/>
    <s v="CO2 capture"/>
    <m/>
    <n v="51.179356550000001"/>
    <n v="7.0718129559999996"/>
    <s v="CO2-Abscheidung [Mt/a]"/>
    <n v="0"/>
    <n v="3.7308369999999999E-3"/>
    <n v="2.1732976000000001E-2"/>
    <n v="5.3247993E-2"/>
    <n v="7.8879748999999999E-2"/>
    <n v="0.109586937"/>
    <n v="0.109586937"/>
    <m/>
  </r>
  <r>
    <x v="1"/>
    <s v="DE"/>
    <s v="process_emissions"/>
    <s v="Industry"/>
    <x v="28"/>
    <s v="Wuppertal, Kreisfreie Stadt"/>
    <x v="2"/>
    <s v="CO2 capture"/>
    <m/>
    <n v="51.225158819999997"/>
    <n v="7.1421867929999996"/>
    <s v="CO2-Abscheidung [Mt/a]"/>
    <n v="0"/>
    <n v="9.1778169999999996E-3"/>
    <n v="5.3462872000000002E-2"/>
    <n v="0.130989455"/>
    <n v="0.19404328100000001"/>
    <n v="0.269582612"/>
    <n v="0.269582612"/>
    <m/>
  </r>
  <r>
    <x v="1"/>
    <s v="DE"/>
    <s v="process_emissions"/>
    <s v="Industry"/>
    <x v="99"/>
    <s v="Düsseldorf, Kreisfreie Stadt"/>
    <x v="2"/>
    <s v="CO2 capture"/>
    <m/>
    <n v="51.225213240000002"/>
    <n v="6.8231294729999998"/>
    <s v="CO2-Abscheidung [Mt/a]"/>
    <n v="0"/>
    <n v="9.5935810000000003E-3"/>
    <n v="5.5884795000000001E-2"/>
    <n v="0.13692341099999999"/>
    <n v="0.20283364000000001"/>
    <n v="0.28179497999999997"/>
    <n v="0.28179497999999997"/>
    <m/>
  </r>
  <r>
    <x v="1"/>
    <s v="DE"/>
    <s v="process_emissions"/>
    <s v="Industry"/>
    <x v="38"/>
    <s v="Märkischer Kreis"/>
    <x v="2"/>
    <s v="CO2 capture"/>
    <m/>
    <n v="51.397204600000002"/>
    <n v="7.6966569219999998"/>
    <s v="CO2-Abscheidung [Mt/a]"/>
    <n v="0"/>
    <n v="6.2891249999999996E-3"/>
    <n v="3.6635587999999997E-2"/>
    <n v="8.9760903000000003E-2"/>
    <n v="0.13296871900000001"/>
    <n v="0.18473226500000001"/>
    <n v="0.18473226500000001"/>
    <m/>
  </r>
  <r>
    <x v="1"/>
    <s v="DE"/>
    <s v="process_emissions"/>
    <s v="Industry"/>
    <x v="100"/>
    <s v="Hagen, Kreisfreie Stadt"/>
    <x v="2"/>
    <s v="CO2 capture"/>
    <m/>
    <n v="51.377791610000003"/>
    <n v="7.4708468669999997"/>
    <s v="CO2-Abscheidung [Mt/a]"/>
    <n v="0"/>
    <n v="3.069946E-3"/>
    <n v="1.7883133999999998E-2"/>
    <n v="4.3815490999999998E-2"/>
    <n v="6.4906765000000005E-2"/>
    <n v="9.0174394000000005E-2"/>
    <n v="9.0174394000000005E-2"/>
    <m/>
  </r>
  <r>
    <x v="1"/>
    <s v="DE"/>
    <s v="process_emissions"/>
    <s v="Industry"/>
    <x v="101"/>
    <s v="Krefeld, Kreisfreie Stadt"/>
    <x v="2"/>
    <s v="CO2 capture"/>
    <m/>
    <n v="51.378956539999997"/>
    <n v="6.6352114750000002"/>
    <s v="CO2-Abscheidung [Mt/a]"/>
    <n v="0"/>
    <n v="3.7308369999999999E-3"/>
    <n v="2.1732976000000001E-2"/>
    <n v="5.3247993E-2"/>
    <n v="7.8879748999999999E-2"/>
    <n v="0.109586937"/>
    <n v="0.109586937"/>
    <m/>
  </r>
  <r>
    <x v="1"/>
    <s v="DE"/>
    <s v="process_emissions"/>
    <s v="Industry"/>
    <x v="102"/>
    <s v="Hamm, Kreisfreie Stadt"/>
    <x v="2"/>
    <s v="CO2 capture"/>
    <m/>
    <n v="51.680548989999998"/>
    <n v="7.7440984549999996"/>
    <s v="CO2-Abscheidung [Mt/a]"/>
    <n v="0"/>
    <n v="6.2891249999999996E-3"/>
    <n v="3.6635587999999997E-2"/>
    <n v="8.9760903000000003E-2"/>
    <n v="0.13296871900000001"/>
    <n v="0.18473226500000001"/>
    <n v="0.18473226500000001"/>
    <m/>
  </r>
  <r>
    <x v="1"/>
    <s v="DE"/>
    <s v="process_emissions"/>
    <s v="Industry"/>
    <x v="103"/>
    <s v="Recklinghausen"/>
    <x v="2"/>
    <s v="CO2 capture"/>
    <m/>
    <n v="51.556850369999999"/>
    <n v="7.1675268279999997"/>
    <s v="CO2-Abscheidung [Mt/a]"/>
    <n v="0"/>
    <n v="1.2791441000000001E-2"/>
    <n v="7.4513060000000006E-2"/>
    <n v="0.18256454799999999"/>
    <n v="0.27044485299999999"/>
    <n v="0.37572664"/>
    <n v="0.37572664"/>
    <m/>
  </r>
  <r>
    <x v="1"/>
    <s v="DE"/>
    <s v="process_emissions"/>
    <s v="Industry"/>
    <x v="104"/>
    <s v="Essen, Kreisfreie Stadt"/>
    <x v="2"/>
    <s v="CO2 capture"/>
    <m/>
    <n v="51.51560233"/>
    <n v="6.9939033989999997"/>
    <s v="CO2-Abscheidung [Mt/a]"/>
    <n v="0"/>
    <n v="1.5882706999999999E-2"/>
    <n v="9.2520382999999998E-2"/>
    <n v="0.226684314"/>
    <n v="0.33580235899999999"/>
    <n v="0.46652724499999998"/>
    <n v="0.46652724499999998"/>
    <m/>
  </r>
  <r>
    <x v="1"/>
    <s v="DE"/>
    <s v="process_emissions"/>
    <s v="Industry"/>
    <x v="105"/>
    <s v="Oberhausen, Kreisfreie Stadt"/>
    <x v="2"/>
    <s v="CO2 capture"/>
    <m/>
    <n v="51.485149309999997"/>
    <n v="6.8342344500000003"/>
    <s v="CO2-Abscheidung [Mt/a]"/>
    <n v="0"/>
    <n v="1.4923347999999999E-2"/>
    <n v="8.6931904000000004E-2"/>
    <n v="0.212991972"/>
    <n v="0.31551899500000002"/>
    <n v="0.43834774700000001"/>
    <n v="0.43834774700000001"/>
    <m/>
  </r>
  <r>
    <x v="1"/>
    <s v="DE"/>
    <s v="process_emissions"/>
    <s v="Industry"/>
    <x v="106"/>
    <s v="Wesel"/>
    <x v="2"/>
    <s v="CO2 capture"/>
    <m/>
    <n v="51.52172161"/>
    <n v="6.5743393960000001"/>
    <s v="CO2-Abscheidung [Mt/a]"/>
    <n v="0"/>
    <n v="5.7561490000000003E-3"/>
    <n v="3.3530877000000001E-2"/>
    <n v="8.2154046999999994E-2"/>
    <n v="0.121700184"/>
    <n v="0.16907698800000001"/>
    <n v="0.16907698800000001"/>
    <m/>
  </r>
  <r>
    <x v="1"/>
    <s v="DE"/>
    <s v="process_emissions"/>
    <s v="Industry"/>
    <x v="107"/>
    <s v="Bielefeld, Kreisfreie Stadt"/>
    <x v="2"/>
    <s v="CO2 capture"/>
    <m/>
    <n v="52.042676559999997"/>
    <n v="8.607725426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1"/>
    <s v="DE"/>
    <s v="process_emissions"/>
    <s v="Industry"/>
    <x v="108"/>
    <s v="Minden-Lübbecke"/>
    <x v="2"/>
    <s v="CO2 capture"/>
    <m/>
    <n v="52.300836689999997"/>
    <n v="8.9493251590000007"/>
    <s v="CO2-Abscheidung [Mt/a]"/>
    <n v="0"/>
    <n v="8.5276280000000006E-3"/>
    <n v="4.9675373000000002E-2"/>
    <n v="0.121709699"/>
    <n v="0.18029656899999999"/>
    <n v="0.25048442700000001"/>
    <n v="0.25048442700000001"/>
    <m/>
  </r>
  <r>
    <x v="1"/>
    <s v="DE"/>
    <s v="process_emissions"/>
    <s v="Industry"/>
    <x v="39"/>
    <s v="Hameln-Pyrmont"/>
    <x v="2"/>
    <s v="CO2 capture"/>
    <m/>
    <n v="52.098190780000003"/>
    <n v="9.3862909299999995"/>
    <s v="CO2-Abscheidung [Mt/a]"/>
    <n v="0"/>
    <n v="7.4616739999999997E-3"/>
    <n v="4.3465952000000002E-2"/>
    <n v="0.106495986"/>
    <n v="0.157759498"/>
    <n v="0.21917387299999999"/>
    <n v="0.21917387299999999"/>
    <m/>
  </r>
  <r>
    <x v="1"/>
    <s v="DE"/>
    <s v="process_emissions"/>
    <s v="Industry"/>
    <x v="6"/>
    <s v="Region Hannover"/>
    <x v="2"/>
    <s v="CO2 capture"/>
    <m/>
    <n v="52.411837230000003"/>
    <n v="9.8534918190000003"/>
    <s v="CO2-Abscheidung [Mt/a]"/>
    <n v="0"/>
    <n v="6.395721E-3"/>
    <n v="3.7256530000000003E-2"/>
    <n v="9.1282273999999997E-2"/>
    <n v="0.13522242700000001"/>
    <n v="0.18786332"/>
    <n v="0.18786332"/>
    <m/>
  </r>
  <r>
    <x v="1"/>
    <s v="DE"/>
    <s v="process_emissions"/>
    <s v="Industry"/>
    <x v="109"/>
    <s v="Helmstedt"/>
    <x v="2"/>
    <s v="CO2 capture"/>
    <m/>
    <n v="52.223607170000001"/>
    <n v="11.00983684"/>
    <s v="CO2-Abscheidung [Mt/a]"/>
    <n v="0"/>
    <n v="1.1192511E-2"/>
    <n v="6.5198928000000003E-2"/>
    <n v="0.15974397900000001"/>
    <n v="0.236639246"/>
    <n v="0.32876081000000001"/>
    <n v="0.32876081000000001"/>
    <m/>
  </r>
  <r>
    <x v="1"/>
    <s v="DE"/>
    <s v="process_emissions"/>
    <s v="Industry"/>
    <x v="110"/>
    <s v="Kassel, Kreisfreie Stadt"/>
    <x v="2"/>
    <s v="CO2 capture"/>
    <m/>
    <n v="51.315518419999997"/>
    <n v="9.5285438229999997"/>
    <s v="CO2-Abscheidung [Mt/a]"/>
    <n v="0"/>
    <n v="5.4576820000000002E-3"/>
    <n v="3.1792239E-2"/>
    <n v="7.7894206999999993E-2"/>
    <n v="0.115389804"/>
    <n v="0.16031003299999999"/>
    <n v="0.16031003299999999"/>
    <m/>
  </r>
  <r>
    <x v="1"/>
    <s v="DE"/>
    <s v="process_emissions"/>
    <s v="Industry"/>
    <x v="46"/>
    <s v="Werra-Meißner-Kreis"/>
    <x v="2"/>
    <s v="CO2 capture"/>
    <m/>
    <n v="51.318295470000002"/>
    <n v="9.8488889969999995"/>
    <s v="CO2-Abscheidung [Mt/a]"/>
    <n v="0"/>
    <n v="7.0352929999999998E-3"/>
    <n v="4.0982182999999998E-2"/>
    <n v="0.100410501"/>
    <n v="0.148744669"/>
    <n v="0.20664965199999999"/>
    <n v="0.20664965199999999"/>
    <m/>
  </r>
  <r>
    <x v="1"/>
    <s v="DE"/>
    <s v="process_emissions"/>
    <s v="Industry"/>
    <x v="111"/>
    <s v="Magdeburg, Kreisfreie Stadt"/>
    <x v="2"/>
    <s v="CO2 capture"/>
    <m/>
    <n v="52.185109670000003"/>
    <n v="11.677096819999999"/>
    <s v="CO2-Abscheidung [Mt/a]"/>
    <n v="0"/>
    <n v="1.3857395E-2"/>
    <n v="8.0722481999999998E-2"/>
    <n v="0.19777826000000001"/>
    <n v="0.292981924"/>
    <n v="0.40703719300000002"/>
    <n v="0.40703719300000002"/>
    <m/>
  </r>
  <r>
    <x v="1"/>
    <s v="DE"/>
    <s v="process_emissions"/>
    <s v="Industry"/>
    <x v="21"/>
    <s v="Salzlandkreis"/>
    <x v="2"/>
    <s v="CO2 capture"/>
    <m/>
    <n v="51.866047850000001"/>
    <n v="11.57611764"/>
    <s v="CO2-Abscheidung [Mt/a]"/>
    <n v="0"/>
    <n v="8.1012459999999994E-3"/>
    <n v="4.7191604999999998E-2"/>
    <n v="0.115624214"/>
    <n v="0.17128173999999999"/>
    <n v="0.23796020500000001"/>
    <n v="0.23796020500000001"/>
    <m/>
  </r>
  <r>
    <x v="1"/>
    <s v="DE"/>
    <s v="process_emissions"/>
    <s v="Industry"/>
    <x v="21"/>
    <s v="Salzlandkreis"/>
    <x v="2"/>
    <s v="CO2 capture"/>
    <m/>
    <n v="51.801934289999998"/>
    <n v="11.7580533"/>
    <s v="CO2-Abscheidung [Mt/a]"/>
    <n v="0"/>
    <n v="1.0233153E-2"/>
    <n v="5.9610448000000003E-2"/>
    <n v="0.14605163800000001"/>
    <n v="0.216355882"/>
    <n v="0.30058131199999999"/>
    <n v="0.30058131199999999"/>
    <m/>
  </r>
  <r>
    <x v="1"/>
    <s v="DE"/>
    <s v="process_emissions"/>
    <s v="Industry"/>
    <x v="112"/>
    <s v="Mansfeld-Südharz"/>
    <x v="2"/>
    <s v="CO2 capture"/>
    <m/>
    <n v="51.461989629999998"/>
    <n v="11.7182531"/>
    <s v="CO2-Abscheidung [Mt/a]"/>
    <n v="0"/>
    <n v="2.5582880000000001E-3"/>
    <n v="1.4902612000000001E-2"/>
    <n v="3.6512910000000003E-2"/>
    <n v="5.4088971E-2"/>
    <n v="7.5145327999999997E-2"/>
    <n v="7.5145327999999997E-2"/>
    <m/>
  </r>
  <r>
    <x v="1"/>
    <s v="DE"/>
    <s v="process_emissions"/>
    <s v="Industry"/>
    <x v="113"/>
    <s v="Anhalt-Bitterfeld"/>
    <x v="2"/>
    <s v="CO2 capture"/>
    <m/>
    <n v="51.629952979999999"/>
    <n v="12.288818210000001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1"/>
    <s v="DE"/>
    <s v="process_emissions"/>
    <s v="Industry"/>
    <x v="113"/>
    <s v="Anhalt-Bitterfeld"/>
    <x v="2"/>
    <s v="CO2 capture"/>
    <m/>
    <n v="51.636746700000003"/>
    <n v="12.227384430000001"/>
    <s v="CO2-Abscheidung [Mt/a]"/>
    <n v="0"/>
    <n v="6.3976179999999999E-3"/>
    <n v="3.7267583999999999E-2"/>
    <n v="9.1309357999999993E-2"/>
    <n v="0.13526254700000001"/>
    <n v="0.18791906"/>
    <n v="0.18791906"/>
    <m/>
  </r>
  <r>
    <x v="1"/>
    <s v="DE"/>
    <s v="process_emissions"/>
    <s v="Industry"/>
    <x v="114"/>
    <s v="Saalekreis"/>
    <x v="2"/>
    <s v="CO2 capture"/>
    <m/>
    <n v="51.325433420000003"/>
    <n v="11.99531919"/>
    <s v="CO2-Abscheidung [Mt/a]"/>
    <n v="0"/>
    <n v="8.1012459999999994E-3"/>
    <n v="4.7191604999999998E-2"/>
    <n v="0.115624214"/>
    <n v="0.17128173999999999"/>
    <n v="0.23796020500000001"/>
    <n v="0.23796020500000001"/>
    <m/>
  </r>
  <r>
    <x v="1"/>
    <s v="DE"/>
    <s v="process_emissions"/>
    <s v="Industry"/>
    <x v="22"/>
    <s v="Burgenlandkreis"/>
    <x v="2"/>
    <s v="CO2 capture"/>
    <m/>
    <n v="51.181517220000003"/>
    <n v="12.01915262"/>
    <s v="CO2-Abscheidung [Mt/a]"/>
    <n v="0"/>
    <n v="7.2058449999999998E-3"/>
    <n v="4.1975691000000002E-2"/>
    <n v="0.102844695"/>
    <n v="0.152350601"/>
    <n v="0.21165934"/>
    <n v="0.21165934"/>
    <m/>
  </r>
  <r>
    <x v="1"/>
    <s v="DE"/>
    <s v="process_emissions"/>
    <s v="Industry"/>
    <x v="115"/>
    <s v="Havelland"/>
    <x v="2"/>
    <s v="CO2 capture"/>
    <m/>
    <n v="52.527303930000002"/>
    <n v="12.35972664"/>
    <s v="CO2-Abscheidung [Mt/a]"/>
    <n v="0"/>
    <n v="6.8434209999999997E-3"/>
    <n v="3.9864486999999997E-2"/>
    <n v="9.7672033000000005E-2"/>
    <n v="0.14468799600000001"/>
    <n v="0.20101375199999999"/>
    <n v="0.20101375199999999"/>
    <m/>
  </r>
  <r>
    <x v="1"/>
    <s v="DE"/>
    <s v="process_emissions"/>
    <s v="Industry"/>
    <x v="116"/>
    <s v="Berlin"/>
    <x v="2"/>
    <s v="CO2 capture"/>
    <m/>
    <n v="52.530336679999998"/>
    <n v="13.23929775"/>
    <s v="CO2-Abscheidung [Mt/a]"/>
    <n v="0"/>
    <n v="1.1459810000000001E-2"/>
    <n v="6.6756001999999995E-2"/>
    <n v="0.16355897"/>
    <n v="0.242290642"/>
    <n v="0.336612244"/>
    <n v="0.336612244"/>
    <m/>
  </r>
  <r>
    <x v="1"/>
    <s v="DE"/>
    <s v="process_emissions"/>
    <s v="Industry"/>
    <x v="20"/>
    <s v="Märkisch-Oderland"/>
    <x v="2"/>
    <s v="CO2 capture"/>
    <m/>
    <n v="52.490157070000002"/>
    <n v="13.830480590000001"/>
    <s v="CO2-Abscheidung [Mt/a]"/>
    <n v="0"/>
    <n v="5.2231719999999999E-3"/>
    <n v="3.0426166000000001E-2"/>
    <n v="7.4547189999999999E-2"/>
    <n v="0.11043164799999999"/>
    <n v="0.15342171099999999"/>
    <n v="0.15342171099999999"/>
    <m/>
  </r>
  <r>
    <x v="1"/>
    <s v="DE"/>
    <s v="process_emissions"/>
    <s v="Industry"/>
    <x v="52"/>
    <s v="Oder-Spree"/>
    <x v="2"/>
    <s v="CO2 capture"/>
    <m/>
    <n v="52.173520459999999"/>
    <n v="14.640119070000001"/>
    <s v="CO2-Abscheidung [Mt/a]"/>
    <n v="0"/>
    <n v="1.1213829999999999E-2"/>
    <n v="6.5323116000000001E-2"/>
    <n v="0.160048254"/>
    <n v="0.237089988"/>
    <n v="0.329387021"/>
    <n v="0.329387021"/>
    <m/>
  </r>
  <r>
    <x v="1"/>
    <s v="DE"/>
    <s v="process_emissions"/>
    <s v="Industry"/>
    <x v="117"/>
    <s v="Oberspreewald-Lausitz"/>
    <x v="2"/>
    <s v="CO2 capture"/>
    <m/>
    <n v="51.58175336"/>
    <n v="13.977769090000001"/>
    <s v="CO2-Abscheidung [Mt/a]"/>
    <n v="0"/>
    <n v="6.2358279999999997E-3"/>
    <n v="3.6325116999999997E-2"/>
    <n v="8.9000217000000006E-2"/>
    <n v="0.131841866"/>
    <n v="0.183166737"/>
    <n v="0.183166737"/>
    <m/>
  </r>
  <r>
    <x v="1"/>
    <s v="DE"/>
    <s v="process_emissions"/>
    <s v="Industry"/>
    <x v="118"/>
    <s v="Spree-Neiße"/>
    <x v="2"/>
    <s v="CO2 capture"/>
    <m/>
    <n v="51.528581410000001"/>
    <n v="14.365483770000001"/>
    <s v="CO2-Abscheidung [Mt/a]"/>
    <n v="0"/>
    <n v="7.4702019999999996E-3"/>
    <n v="4.3515627000000001E-2"/>
    <n v="0.106617696"/>
    <n v="0.15793979399999999"/>
    <n v="0.21942435800000001"/>
    <n v="0.21942435800000001"/>
    <m/>
  </r>
  <r>
    <x v="1"/>
    <s v="DE"/>
    <s v="process_emissions"/>
    <s v="Industry"/>
    <x v="119"/>
    <s v="Bautzen"/>
    <x v="2"/>
    <s v="CO2 capture"/>
    <m/>
    <n v="51.450966469999997"/>
    <n v="14.11152613"/>
    <s v="CO2-Abscheidung [Mt/a]"/>
    <n v="0"/>
    <n v="4.7967909999999999E-3"/>
    <n v="2.7942398E-2"/>
    <n v="6.8461704999999998E-2"/>
    <n v="0.10141682"/>
    <n v="0.14089748999999999"/>
    <n v="0.14089748999999999"/>
    <m/>
  </r>
  <r>
    <x v="1"/>
    <s v="DE"/>
    <s v="process_emissions"/>
    <s v="Industry"/>
    <x v="120"/>
    <s v="Uckermark"/>
    <x v="2"/>
    <s v="CO2 capture"/>
    <m/>
    <n v="53.082755249999998"/>
    <n v="14.322349559999999"/>
    <s v="CO2-Abscheidung [Mt/a]"/>
    <n v="0"/>
    <n v="9.4267810000000004E-3"/>
    <n v="5.4913144999999997E-2"/>
    <n v="0.13454276900000001"/>
    <n v="0.19930703899999999"/>
    <n v="0.27689550499999999"/>
    <n v="0.27689550499999999"/>
    <m/>
  </r>
  <r>
    <x v="1"/>
    <s v="DE"/>
    <s v="process_emissions"/>
    <s v="Industry"/>
    <x v="121"/>
    <s v="Mecklenburgische Seenplatte"/>
    <x v="2"/>
    <s v="CO2 capture"/>
    <m/>
    <n v="53.707019979999998"/>
    <n v="12.909720119999999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1"/>
    <s v="DE"/>
    <s v="process_emissions"/>
    <s v="Industry"/>
    <x v="122"/>
    <s v="Rostock, Kreisfreie Stadt"/>
    <x v="2"/>
    <s v="CO2 capture"/>
    <m/>
    <n v="54.144674190000003"/>
    <n v="12.14359705"/>
    <s v="CO2-Abscheidung [Mt/a]"/>
    <n v="0"/>
    <n v="4.903386E-3"/>
    <n v="2.856334E-2"/>
    <n v="6.9983077000000005E-2"/>
    <n v="0.103670527"/>
    <n v="0.14402854500000001"/>
    <n v="0.14402854500000001"/>
    <m/>
  </r>
  <r>
    <x v="1"/>
    <s v="DE"/>
    <s v="process_emissions"/>
    <s v="Industry"/>
    <x v="123"/>
    <s v="Ludwigslust-Parchim"/>
    <x v="2"/>
    <s v="CO2 capture"/>
    <m/>
    <n v="53.298520959999998"/>
    <n v="11.516331470000001"/>
    <s v="CO2-Abscheidung [Mt/a]"/>
    <n v="0"/>
    <n v="1.2365060000000001E-3"/>
    <n v="7.2029290000000003E-3"/>
    <n v="1.7647906000000001E-2"/>
    <n v="2.6143001999999999E-2"/>
    <n v="3.6320242000000003E-2"/>
    <n v="3.6320242000000003E-2"/>
    <m/>
  </r>
  <r>
    <x v="1"/>
    <s v="DE"/>
    <s v="process_emissions"/>
    <s v="Industry"/>
    <x v="124"/>
    <s v="Ostholstein"/>
    <x v="2"/>
    <s v="CO2 capture"/>
    <m/>
    <n v="54.096261060000003"/>
    <n v="10.79355679"/>
    <s v="CO2-Abscheidung [Mt/a]"/>
    <n v="0"/>
    <n v="1.079981E-3"/>
    <n v="6.2911379999999999E-3"/>
    <n v="1.5413925E-2"/>
    <n v="2.2833658999999999E-2"/>
    <n v="3.1722599999999997E-2"/>
    <n v="3.1722599999999997E-2"/>
    <m/>
  </r>
  <r>
    <x v="1"/>
    <s v="DE"/>
    <s v="process_emissions"/>
    <s v="Industry"/>
    <x v="125"/>
    <s v="Kiel, Kreisfreie Stadt"/>
    <x v="2"/>
    <s v="CO2 capture"/>
    <m/>
    <n v="54.307207630000001"/>
    <n v="10.11225058"/>
    <s v="CO2-Abscheidung [Mt/a]"/>
    <n v="0"/>
    <n v="2.98467E-3"/>
    <n v="1.7386380999999999E-2"/>
    <n v="4.2598393999999998E-2"/>
    <n v="6.3103799000000002E-2"/>
    <n v="8.7669548999999999E-2"/>
    <n v="8.7669548999999999E-2"/>
    <m/>
  </r>
  <r>
    <x v="1"/>
    <s v="DE"/>
    <s v="process_emissions"/>
    <s v="Industry"/>
    <x v="126"/>
    <s v="Neumünster, Kreisfreie Stadt"/>
    <x v="2"/>
    <s v="CO2 capture"/>
    <m/>
    <n v="54.083000830000003"/>
    <n v="9.9905855989999992"/>
    <s v="CO2-Abscheidung [Mt/a]"/>
    <n v="0"/>
    <n v="4.2638140000000003E-3"/>
    <n v="2.4837687000000001E-2"/>
    <n v="6.0854849000000003E-2"/>
    <n v="9.0148283999999995E-2"/>
    <n v="0.12524221299999999"/>
    <n v="0.12524221299999999"/>
    <m/>
  </r>
  <r>
    <x v="1"/>
    <s v="DE"/>
    <s v="process_emissions"/>
    <s v="Industry"/>
    <x v="127"/>
    <s v="Stormarn"/>
    <x v="2"/>
    <s v="CO2 capture"/>
    <m/>
    <n v="53.618567259999999"/>
    <n v="10.22449729"/>
    <s v="CO2-Abscheidung [Mt/a]"/>
    <n v="0"/>
    <n v="7.4616739999999997E-3"/>
    <n v="4.3465952000000002E-2"/>
    <n v="0.106495986"/>
    <n v="0.157759498"/>
    <n v="0.21917387299999999"/>
    <n v="0.21917387299999999"/>
    <m/>
  </r>
  <r>
    <x v="1"/>
    <s v="DE"/>
    <s v="process_emissions"/>
    <s v="Industry"/>
    <x v="128"/>
    <s v="Hamburg"/>
    <x v="2"/>
    <s v="CO2 capture"/>
    <m/>
    <n v="53.53183087"/>
    <n v="10.07311881"/>
    <s v="CO2-Abscheidung [Mt/a]"/>
    <n v="0"/>
    <n v="7.4616739999999997E-3"/>
    <n v="4.3465952000000002E-2"/>
    <n v="0.106495986"/>
    <n v="0.157759498"/>
    <n v="0.21917387299999999"/>
    <n v="0.21917387299999999"/>
    <m/>
  </r>
  <r>
    <x v="1"/>
    <s v="DE"/>
    <s v="process_emissions"/>
    <s v="Industry"/>
    <x v="128"/>
    <s v="Hamburg"/>
    <x v="2"/>
    <s v="CO2 capture"/>
    <m/>
    <n v="53.520923260000004"/>
    <n v="9.9339566730000008"/>
    <s v="CO2-Abscheidung [Mt/a]"/>
    <n v="0"/>
    <n v="6.822102E-3"/>
    <n v="3.9740299E-2"/>
    <n v="9.7367758999999998E-2"/>
    <n v="0.14423725500000001"/>
    <n v="0.200387541"/>
    <n v="0.200387541"/>
    <m/>
  </r>
  <r>
    <x v="1"/>
    <s v="DE"/>
    <s v="process_emissions"/>
    <s v="Industry"/>
    <x v="129"/>
    <s v="Pinneberg"/>
    <x v="2"/>
    <s v="CO2 capture"/>
    <m/>
    <n v="53.70506778"/>
    <n v="9.7764563590000009"/>
    <s v="CO2-Abscheidung [Mt/a]"/>
    <n v="0"/>
    <n v="1.705526E-3"/>
    <n v="9.9350749999999998E-3"/>
    <n v="2.4341939999999999E-2"/>
    <n v="3.6059314000000002E-2"/>
    <n v="5.0096885000000001E-2"/>
    <n v="5.0096885000000001E-2"/>
    <m/>
  </r>
  <r>
    <x v="1"/>
    <s v="DE"/>
    <s v="process_emissions"/>
    <s v="Industry"/>
    <x v="5"/>
    <s v="Steinburg"/>
    <x v="2"/>
    <s v="CO2 capture"/>
    <m/>
    <n v="53.781289000000001"/>
    <n v="9.4256796680000008"/>
    <s v="CO2-Abscheidung [Mt/a]"/>
    <n v="0"/>
    <n v="5.1165769999999998E-3"/>
    <n v="2.9805224000000002E-2"/>
    <n v="7.3025819000000006E-2"/>
    <n v="0.108177941"/>
    <n v="0.15029065599999999"/>
    <n v="0.15029065599999999"/>
    <m/>
  </r>
  <r>
    <x v="1"/>
    <s v="DE"/>
    <s v="process_emissions"/>
    <s v="Industry"/>
    <x v="130"/>
    <s v="Bremerhaven, Kreisfreie Stadt"/>
    <x v="2"/>
    <s v="CO2 capture"/>
    <m/>
    <n v="53.547990830000003"/>
    <n v="8.6178952459999998"/>
    <s v="CO2-Abscheidung [Mt/a]"/>
    <n v="0"/>
    <n v="8.5596060000000009E-3"/>
    <n v="4.9861655999999997E-2"/>
    <n v="0.12216610999999999"/>
    <n v="0.180972681"/>
    <n v="0.25142374299999998"/>
    <n v="0.25142374299999998"/>
    <m/>
  </r>
  <r>
    <x v="1"/>
    <s v="DE"/>
    <s v="process_emissions"/>
    <s v="Industry"/>
    <x v="131"/>
    <s v="Wesermarsch"/>
    <x v="2"/>
    <s v="CO2 capture"/>
    <m/>
    <n v="53.179208619999997"/>
    <n v="8.5723346720000002"/>
    <s v="CO2-Abscheidung [Mt/a]"/>
    <n v="0"/>
    <n v="1.385739E-3"/>
    <n v="8.0722480000000006E-3"/>
    <n v="1.9777825999999998E-2"/>
    <n v="2.9298192000000001E-2"/>
    <n v="4.0703718999999999E-2"/>
    <n v="4.0703718999999999E-2"/>
    <m/>
  </r>
  <r>
    <x v="1"/>
    <s v="DE"/>
    <s v="process_emissions"/>
    <s v="Industry"/>
    <x v="132"/>
    <s v="Bremen, Kreisfreie Stadt"/>
    <x v="2"/>
    <s v="CO2 capture"/>
    <m/>
    <n v="53.124072060000003"/>
    <n v="8.7278352229999996"/>
    <s v="CO2-Abscheidung [Mt/a]"/>
    <n v="0"/>
    <n v="7.3550789999999996E-3"/>
    <n v="4.2845010000000003E-2"/>
    <n v="0.10497461499999999"/>
    <n v="0.155505791"/>
    <n v="0.216042818"/>
    <n v="0.216042818"/>
    <m/>
  </r>
  <r>
    <x v="1"/>
    <s v="DE"/>
    <s v="process_emissions"/>
    <s v="Industry"/>
    <x v="132"/>
    <s v="Bremen, Kreisfreie Stadt"/>
    <x v="2"/>
    <s v="CO2 capture"/>
    <m/>
    <n v="53.114351059999997"/>
    <n v="8.8167435249999997"/>
    <s v="CO2-Abscheidung [Mt/a]"/>
    <n v="0"/>
    <n v="1.1725487999999999E-2"/>
    <n v="6.8303638E-2"/>
    <n v="0.167350835"/>
    <n v="0.24790778199999999"/>
    <n v="0.34441608699999998"/>
    <n v="0.34441608699999998"/>
    <m/>
  </r>
  <r>
    <x v="1"/>
    <s v="DE"/>
    <s v="process_emissions"/>
    <s v="Industry"/>
    <x v="133"/>
    <s v="Leer"/>
    <x v="2"/>
    <s v="CO2 capture"/>
    <m/>
    <n v="53.181020879999998"/>
    <n v="7.354555951"/>
    <s v="CO2-Abscheidung [Mt/a]"/>
    <n v="0"/>
    <n v="3.837432E-3"/>
    <n v="2.2353918E-2"/>
    <n v="5.4769364000000001E-2"/>
    <n v="8.1133456000000007E-2"/>
    <n v="0.112717992"/>
    <n v="0.112717992"/>
    <m/>
  </r>
  <r>
    <x v="1"/>
    <s v="DE"/>
    <s v="process_emissions"/>
    <s v="Industry"/>
    <x v="134"/>
    <s v="Grafschaft Bentheim"/>
    <x v="2"/>
    <s v="CO2 capture"/>
    <m/>
    <n v="52.643203130000003"/>
    <n v="6.7421377009999999"/>
    <s v="CO2-Abscheidung [Mt/a]"/>
    <n v="0"/>
    <n v="9.6826099999999995E-3"/>
    <n v="5.6403406000000003E-2"/>
    <n v="0.13819406000000001"/>
    <n v="0.20471593599999999"/>
    <n v="0.284410037"/>
    <n v="0.284410037"/>
    <m/>
  </r>
  <r>
    <x v="1"/>
    <s v="DE"/>
    <s v="process_emissions"/>
    <s v="Industry"/>
    <x v="135"/>
    <s v="Emsland"/>
    <x v="2"/>
    <s v="CO2 capture"/>
    <m/>
    <n v="52.313141109999997"/>
    <n v="7.3507255469999997"/>
    <s v="CO2-Abscheidung [Mt/a]"/>
    <n v="0"/>
    <n v="2.7714789999999999E-3"/>
    <n v="1.6144496000000001E-2"/>
    <n v="3.9555651999999997E-2"/>
    <n v="5.8596385000000001E-2"/>
    <n v="8.1407438999999998E-2"/>
    <n v="8.1407438999999998E-2"/>
    <m/>
  </r>
  <r>
    <x v="1"/>
    <s v="DE"/>
    <s v="process_emissions"/>
    <s v="Industry"/>
    <x v="52"/>
    <s v="Oder-Spree"/>
    <x v="3"/>
    <s v="CO2 capture"/>
    <m/>
    <n v="52.166141000000003"/>
    <n v="14.617682"/>
    <s v="CO2-Abscheidung [Mt/a]"/>
    <n v="0"/>
    <n v="0"/>
    <n v="0"/>
    <n v="0.82042899999999996"/>
    <n v="1.640857"/>
    <n v="2.4612859999999999"/>
    <n v="2.4612859999999999"/>
    <m/>
  </r>
  <r>
    <x v="1"/>
    <s v="DE"/>
    <s v="process_emissions"/>
    <s v="Industry"/>
    <x v="132"/>
    <s v="Bremen, Kreisfreie Stadt"/>
    <x v="3"/>
    <s v="CO2 capture"/>
    <m/>
    <n v="53.124929999999999"/>
    <n v="8.6867289999999997"/>
    <s v="CO2-Abscheidung [Mt/a]"/>
    <n v="0"/>
    <n v="0"/>
    <n v="0"/>
    <n v="1.7802180000000001"/>
    <n v="3.5604360000000002"/>
    <n v="5.3406539999999998"/>
    <n v="5.3406539999999998"/>
    <m/>
  </r>
  <r>
    <x v="1"/>
    <s v="DE"/>
    <s v="process_emissions"/>
    <s v="Industry"/>
    <x v="136"/>
    <s v="Salzgitter, Kreisfreie Stadt"/>
    <x v="3"/>
    <s v="CO2 capture"/>
    <m/>
    <n v="52.154764999999998"/>
    <n v="10.403074999999999"/>
    <s v="CO2-Abscheidung [Mt/a]"/>
    <n v="0"/>
    <n v="0"/>
    <n v="0"/>
    <n v="1.1826000000000001"/>
    <n v="2.3652000000000002"/>
    <n v="3.5478000000000001"/>
    <n v="3.5478000000000001"/>
    <m/>
  </r>
  <r>
    <x v="1"/>
    <s v="DE"/>
    <s v="process_emissions"/>
    <s v="Industry"/>
    <x v="137"/>
    <s v="Duisburg, Kreisfreie Stadt"/>
    <x v="3"/>
    <s v="CO2 capture"/>
    <m/>
    <n v="51.503689999999999"/>
    <n v="6.7359070000000001"/>
    <s v="CO2-Abscheidung [Mt/a]"/>
    <n v="0"/>
    <n v="0"/>
    <n v="0"/>
    <n v="3.98142"/>
    <n v="7.9628399999999999"/>
    <n v="11.94426"/>
    <n v="11.94426"/>
    <m/>
  </r>
  <r>
    <x v="1"/>
    <s v="DE"/>
    <s v="process_emissions"/>
    <s v="Industry"/>
    <x v="138"/>
    <s v="Saarlouis"/>
    <x v="3"/>
    <s v="CO2 capture"/>
    <m/>
    <n v="49.352136999999999"/>
    <n v="6.7436530000000001"/>
    <s v="CO2-Abscheidung [Mt/a]"/>
    <n v="0"/>
    <n v="0"/>
    <n v="0"/>
    <n v="0.66149999999999998"/>
    <n v="1.323"/>
    <n v="1.9844999999999999"/>
    <n v="1.9844999999999999"/>
    <m/>
  </r>
  <r>
    <x v="1"/>
    <s v="DE"/>
    <s v="process_emissions"/>
    <s v="Industry"/>
    <x v="139"/>
    <s v="Karlsruhe, Kreisfreie Stadt"/>
    <x v="4"/>
    <s v="CO2 capture"/>
    <m/>
    <n v="49.025399999999998"/>
    <n v="8.4304000000000006"/>
    <s v="CO2-Abscheidung [Mt/a]"/>
    <n v="0"/>
    <n v="0"/>
    <n v="0"/>
    <n v="0.68666700000000003"/>
    <n v="1.3733329999999999"/>
    <n v="2.06"/>
    <n v="2.06"/>
    <m/>
  </r>
  <r>
    <x v="1"/>
    <s v="DE"/>
    <s v="process_emissions"/>
    <s v="Industry"/>
    <x v="64"/>
    <s v="Altötting, Landkreis"/>
    <x v="5"/>
    <s v="CO2 capture"/>
    <m/>
    <n v="48.174922000000002"/>
    <n v="12.816148999999999"/>
    <s v="CO2-Abscheidung [Mt/a]"/>
    <n v="0"/>
    <n v="0"/>
    <n v="0"/>
    <n v="0.217"/>
    <n v="0.434"/>
    <n v="0.65100000000000002"/>
    <n v="0.65100000000000002"/>
    <m/>
  </r>
  <r>
    <x v="1"/>
    <s v="DE"/>
    <s v="process_emissions"/>
    <s v="Industry"/>
    <x v="64"/>
    <s v="Altötting, Landkreis"/>
    <x v="4"/>
    <s v="CO2 capture"/>
    <m/>
    <n v="48.1571"/>
    <n v="12.84"/>
    <s v="CO2-Abscheidung [Mt/a]"/>
    <n v="0"/>
    <n v="0"/>
    <n v="0"/>
    <n v="0.27400000000000002"/>
    <n v="0.54800000000000004"/>
    <n v="0.82199999999999995"/>
    <n v="0.82199999999999995"/>
    <m/>
  </r>
  <r>
    <x v="1"/>
    <s v="DE"/>
    <s v="process_emissions"/>
    <s v="Industry"/>
    <x v="73"/>
    <s v="Eichstätt, Landkreis"/>
    <x v="5"/>
    <s v="CO2 capture"/>
    <m/>
    <n v="48.768099999999997"/>
    <n v="11.771000000000001"/>
    <s v="CO2-Abscheidung [Mt/a]"/>
    <n v="0"/>
    <n v="0"/>
    <n v="0"/>
    <n v="3.7999999999999999E-2"/>
    <n v="7.5999999999999998E-2"/>
    <n v="0.114"/>
    <n v="0.114"/>
    <m/>
  </r>
  <r>
    <x v="1"/>
    <s v="DE"/>
    <s v="process_emissions"/>
    <s v="Industry"/>
    <x v="73"/>
    <s v="Eichstätt, Landkreis"/>
    <x v="6"/>
    <s v="CO2 capture"/>
    <m/>
    <n v="48.768099999999997"/>
    <n v="11.771000000000001"/>
    <s v="CO2-Abscheidung [Mt/a]"/>
    <n v="0"/>
    <n v="0"/>
    <n v="0"/>
    <n v="0.112667"/>
    <n v="0.22533300000000001"/>
    <n v="0.33800000000000002"/>
    <n v="0.33800000000000002"/>
    <m/>
  </r>
  <r>
    <x v="1"/>
    <s v="DE"/>
    <s v="process_emissions"/>
    <s v="Industry"/>
    <x v="140"/>
    <s v="Pfaffenhofen a.d. Ilm"/>
    <x v="4"/>
    <s v="CO2 capture"/>
    <m/>
    <n v="48.771900000000002"/>
    <n v="11.6206"/>
    <s v="CO2-Abscheidung [Mt/a]"/>
    <n v="0"/>
    <n v="0"/>
    <n v="0"/>
    <n v="0.10828500000000001"/>
    <n v="0.21657000000000001"/>
    <n v="0.324855"/>
    <n v="0.324855"/>
    <m/>
  </r>
  <r>
    <x v="1"/>
    <s v="DE"/>
    <s v="process_emissions"/>
    <s v="Industry"/>
    <x v="27"/>
    <s v="Kelheim"/>
    <x v="4"/>
    <s v="CO2 capture"/>
    <m/>
    <n v="48.805999999999997"/>
    <n v="11.7606"/>
    <s v="CO2-Abscheidung [Mt/a]"/>
    <n v="0"/>
    <n v="0"/>
    <n v="0"/>
    <n v="0.28804800000000003"/>
    <n v="0.57609699999999997"/>
    <n v="0.86414500000000005"/>
    <n v="0.86414500000000005"/>
    <m/>
  </r>
  <r>
    <x v="1"/>
    <s v="DE"/>
    <s v="process_emissions"/>
    <s v="Industry"/>
    <x v="117"/>
    <s v="Oberspreewald-Lausitz"/>
    <x v="5"/>
    <s v="CO2 capture"/>
    <m/>
    <n v="51.502800000000001"/>
    <n v="13.8514"/>
    <s v="CO2-Abscheidung [Mt/a]"/>
    <n v="0"/>
    <n v="0"/>
    <n v="0"/>
    <n v="8.4000000000000005E-2"/>
    <n v="0.16800000000000001"/>
    <n v="0.252"/>
    <n v="0.252"/>
    <m/>
  </r>
  <r>
    <x v="1"/>
    <s v="DE"/>
    <s v="process_emissions"/>
    <s v="Industry"/>
    <x v="120"/>
    <s v="Uckermark"/>
    <x v="4"/>
    <s v="CO2 capture"/>
    <m/>
    <n v="53.061700000000002"/>
    <n v="14.272399999999999"/>
    <s v="CO2-Abscheidung [Mt/a]"/>
    <n v="0"/>
    <n v="0"/>
    <n v="0"/>
    <n v="0.874"/>
    <n v="1.748"/>
    <n v="2.6219999999999999"/>
    <n v="2.6219999999999999"/>
    <m/>
  </r>
  <r>
    <x v="1"/>
    <s v="DE"/>
    <s v="process_emissions"/>
    <s v="Industry"/>
    <x v="128"/>
    <s v="Hamburg"/>
    <x v="4"/>
    <s v="CO2 capture"/>
    <m/>
    <n v="53.482700000000001"/>
    <n v="9.9666999999999994"/>
    <s v="CO2-Abscheidung [Mt/a]"/>
    <n v="0"/>
    <n v="0"/>
    <n v="0"/>
    <n v="0.21166699999999999"/>
    <n v="0.42333300000000001"/>
    <n v="0.63500000000000001"/>
    <n v="0.63500000000000001"/>
    <m/>
  </r>
  <r>
    <x v="1"/>
    <s v="DE"/>
    <s v="process_emissions"/>
    <s v="Industry"/>
    <x v="85"/>
    <s v="Frankfurt am Main, Kreisfreie Stadt"/>
    <x v="5"/>
    <s v="CO2 capture"/>
    <m/>
    <n v="50.098599999999998"/>
    <n v="8.5340000000000007"/>
    <s v="CO2-Abscheidung [Mt/a]"/>
    <n v="0"/>
    <n v="0"/>
    <n v="0"/>
    <n v="0.33033299999999999"/>
    <n v="0.660667"/>
    <n v="0.99099999999999999"/>
    <n v="0.99099999999999999"/>
    <m/>
  </r>
  <r>
    <x v="1"/>
    <s v="DE"/>
    <s v="process_emissions"/>
    <s v="Industry"/>
    <x v="141"/>
    <s v="Stade, Landkreis"/>
    <x v="5"/>
    <s v="CO2 capture"/>
    <m/>
    <n v="53.6708"/>
    <n v="9.5291999999999994"/>
    <s v="CO2-Abscheidung [Mt/a]"/>
    <n v="0"/>
    <n v="0"/>
    <n v="0"/>
    <n v="0.224"/>
    <n v="0.44800000000000001"/>
    <n v="0.67200000000000004"/>
    <n v="0.67200000000000004"/>
    <m/>
  </r>
  <r>
    <x v="1"/>
    <s v="DE"/>
    <s v="process_emissions"/>
    <s v="Industry"/>
    <x v="135"/>
    <s v="Emsland"/>
    <x v="4"/>
    <s v="CO2 capture"/>
    <m/>
    <n v="52.516800000000003"/>
    <n v="7.3413000000000004"/>
    <s v="CO2-Abscheidung [Mt/a]"/>
    <n v="0"/>
    <n v="0"/>
    <n v="0"/>
    <n v="0.29466700000000001"/>
    <n v="0.589333"/>
    <n v="0.88400000000000001"/>
    <n v="0.88400000000000001"/>
    <m/>
  </r>
  <r>
    <x v="1"/>
    <s v="DE"/>
    <s v="process_emissions"/>
    <s v="Industry"/>
    <x v="101"/>
    <s v="Krefeld, Kreisfreie Stadt"/>
    <x v="5"/>
    <s v="CO2 capture"/>
    <m/>
    <n v="51.3489"/>
    <n v="6.6736000000000004"/>
    <s v="CO2-Abscheidung [Mt/a]"/>
    <n v="0"/>
    <n v="0"/>
    <n v="0"/>
    <n v="0.31066700000000003"/>
    <n v="0.62133300000000002"/>
    <n v="0.93200000000000005"/>
    <n v="0.93200000000000005"/>
    <m/>
  </r>
  <r>
    <x v="1"/>
    <s v="DE"/>
    <s v="process_emissions"/>
    <s v="Industry"/>
    <x v="142"/>
    <s v="Rhein-Kreis Neuss"/>
    <x v="5"/>
    <s v="CO2 capture"/>
    <m/>
    <n v="51.1083"/>
    <n v="6.8714000000000004"/>
    <s v="CO2-Abscheidung [Mt/a]"/>
    <n v="0"/>
    <n v="0"/>
    <n v="0"/>
    <n v="0.26166699999999998"/>
    <n v="0.52333300000000005"/>
    <n v="0.78500000000000003"/>
    <n v="0.78500000000000003"/>
    <m/>
  </r>
  <r>
    <x v="1"/>
    <s v="DE"/>
    <s v="process_emissions"/>
    <s v="Industry"/>
    <x v="96"/>
    <s v="Köln, Kreisfreie Stadt"/>
    <x v="5"/>
    <s v="CO2 capture"/>
    <m/>
    <n v="51.105899999999998"/>
    <n v="6.8810000000000002"/>
    <s v="CO2-Abscheidung [Mt/a]"/>
    <n v="0"/>
    <n v="0"/>
    <n v="0"/>
    <n v="0.29199999999999998"/>
    <n v="0.58399999999999996"/>
    <n v="0.876"/>
    <n v="0.876"/>
    <m/>
  </r>
  <r>
    <x v="1"/>
    <s v="DE"/>
    <s v="process_emissions"/>
    <s v="Industry"/>
    <x v="96"/>
    <s v="Köln, Kreisfreie Stadt"/>
    <x v="4"/>
    <s v="CO2 capture"/>
    <m/>
    <n v="50.865000000000002"/>
    <n v="6.9855999999999998"/>
    <s v="CO2-Abscheidung [Mt/a]"/>
    <n v="0"/>
    <n v="0"/>
    <n v="0"/>
    <n v="0.30266700000000002"/>
    <n v="0.60533300000000001"/>
    <n v="0.90800000000000003"/>
    <n v="0.90800000000000003"/>
    <m/>
  </r>
  <r>
    <x v="1"/>
    <s v="DE"/>
    <s v="process_emissions"/>
    <s v="Industry"/>
    <x v="96"/>
    <s v="Köln, Kreisfreie Stadt"/>
    <x v="6"/>
    <s v="CO2 capture"/>
    <m/>
    <n v="51.105899999999998"/>
    <n v="6.8810000000000002"/>
    <s v="CO2-Abscheidung [Mt/a]"/>
    <n v="0"/>
    <n v="0"/>
    <n v="0"/>
    <n v="0.36199999999999999"/>
    <n v="0.72399999999999998"/>
    <n v="1.0860000000000001"/>
    <n v="1.0860000000000001"/>
    <m/>
  </r>
  <r>
    <x v="1"/>
    <s v="DE"/>
    <s v="process_emissions"/>
    <s v="Industry"/>
    <x v="97"/>
    <s v="Leverkusen, Kreisfreie Stadt"/>
    <x v="5"/>
    <s v="CO2 capture"/>
    <m/>
    <n v="51.039900000000003"/>
    <n v="6.992"/>
    <s v="CO2-Abscheidung [Mt/a]"/>
    <n v="0"/>
    <n v="0"/>
    <n v="0"/>
    <n v="0.283333"/>
    <n v="0.56666700000000003"/>
    <n v="0.85"/>
    <n v="0.85"/>
    <m/>
  </r>
  <r>
    <x v="1"/>
    <s v="DE"/>
    <s v="process_emissions"/>
    <s v="Industry"/>
    <x v="94"/>
    <s v="Rhein-Erft-Kreis"/>
    <x v="5"/>
    <s v="CO2 capture"/>
    <m/>
    <n v="50.832700000000003"/>
    <n v="6.9635999999999996"/>
    <s v="CO2-Abscheidung [Mt/a]"/>
    <n v="0"/>
    <n v="0"/>
    <n v="0"/>
    <n v="0.189667"/>
    <n v="0.37933299999999998"/>
    <n v="0.56899999999999995"/>
    <n v="0.56899999999999995"/>
    <m/>
  </r>
  <r>
    <x v="1"/>
    <s v="DE"/>
    <s v="process_emissions"/>
    <s v="Industry"/>
    <x v="94"/>
    <s v="Rhein-Erft-Kreis"/>
    <x v="4"/>
    <s v="CO2 capture"/>
    <m/>
    <n v="50.832700000000003"/>
    <n v="6.9635999999999996"/>
    <s v="CO2-Abscheidung [Mt/a]"/>
    <n v="0"/>
    <n v="0"/>
    <n v="0"/>
    <n v="0.49833300000000003"/>
    <n v="0.99666699999999997"/>
    <n v="1.4950000000000001"/>
    <n v="1.4950000000000001"/>
    <m/>
  </r>
  <r>
    <x v="1"/>
    <s v="DE"/>
    <s v="process_emissions"/>
    <s v="Industry"/>
    <x v="94"/>
    <s v="Rhein-Erft-Kreis"/>
    <x v="6"/>
    <s v="CO2 capture"/>
    <m/>
    <n v="50.832700000000003"/>
    <n v="6.9635999999999996"/>
    <s v="CO2-Abscheidung [Mt/a]"/>
    <n v="0"/>
    <n v="0"/>
    <n v="0"/>
    <n v="0.29799999999999999"/>
    <n v="0.59599999999999997"/>
    <n v="0.89400000000000002"/>
    <n v="0.89400000000000002"/>
    <m/>
  </r>
  <r>
    <x v="1"/>
    <s v="DE"/>
    <s v="process_emissions"/>
    <s v="Industry"/>
    <x v="143"/>
    <s v="Gelsenkirchen, Kreisfreie Stadt"/>
    <x v="4"/>
    <s v="CO2 capture"/>
    <m/>
    <n v="51.572071000000001"/>
    <n v="7.0358150000000004"/>
    <s v="CO2-Abscheidung [Mt/a]"/>
    <n v="0"/>
    <n v="0"/>
    <n v="0"/>
    <n v="1.007333"/>
    <n v="2.0146670000000002"/>
    <n v="3.0219999999999998"/>
    <n v="3.0219999999999998"/>
    <m/>
  </r>
  <r>
    <x v="1"/>
    <s v="DE"/>
    <s v="process_emissions"/>
    <s v="Industry"/>
    <x v="103"/>
    <s v="Recklinghausen, Landkreis"/>
    <x v="5"/>
    <s v="CO2 capture"/>
    <m/>
    <n v="51.664999999999999"/>
    <n v="7.1311"/>
    <s v="CO2-Abscheidung [Mt/a]"/>
    <n v="0"/>
    <n v="0"/>
    <n v="0"/>
    <n v="0.39066699999999999"/>
    <n v="0.78133300000000006"/>
    <n v="1.1719999999999999"/>
    <n v="1.1719999999999999"/>
    <m/>
  </r>
  <r>
    <x v="1"/>
    <s v="DE"/>
    <s v="process_emissions"/>
    <s v="Industry"/>
    <x v="75"/>
    <s v="Ludwigshafen am Rhein, Kreisfreie Stadt"/>
    <x v="5"/>
    <s v="CO2 capture"/>
    <m/>
    <n v="49.508099999999999"/>
    <n v="8.4046000000000003"/>
    <s v="CO2-Abscheidung [Mt/a]"/>
    <n v="0"/>
    <n v="0"/>
    <n v="0"/>
    <n v="1.2829999999999999"/>
    <n v="2.5659999999999998"/>
    <n v="3.8490000000000002"/>
    <n v="3.8490000000000002"/>
    <m/>
  </r>
  <r>
    <x v="1"/>
    <s v="DE"/>
    <s v="process_emissions"/>
    <s v="Industry"/>
    <x v="75"/>
    <s v="Ludwigshafen am Rhein, Kreisfreie Stadt"/>
    <x v="6"/>
    <s v="CO2 capture"/>
    <m/>
    <n v="49.508099999999999"/>
    <n v="8.4046000000000003"/>
    <s v="CO2-Abscheidung [Mt/a]"/>
    <n v="0"/>
    <n v="0"/>
    <n v="0"/>
    <n v="0.190333"/>
    <n v="0.38066699999999998"/>
    <n v="0.57099999999999995"/>
    <n v="0.57099999999999995"/>
    <m/>
  </r>
  <r>
    <x v="1"/>
    <s v="DE"/>
    <s v="process_emissions"/>
    <s v="Industry"/>
    <x v="144"/>
    <s v="Leipzig, Landkreis"/>
    <x v="6"/>
    <s v="CO2 capture"/>
    <m/>
    <n v="51.207000000000001"/>
    <n v="12.391"/>
    <s v="CO2-Abscheidung [Mt/a]"/>
    <n v="0"/>
    <n v="0"/>
    <n v="0"/>
    <n v="0.27066699999999999"/>
    <n v="0.54133299999999995"/>
    <n v="0.81200000000000006"/>
    <n v="0.81200000000000006"/>
    <m/>
  </r>
  <r>
    <x v="1"/>
    <s v="DE"/>
    <s v="process_emissions"/>
    <s v="Industry"/>
    <x v="114"/>
    <s v="Saalekreis"/>
    <x v="5"/>
    <s v="CO2 capture"/>
    <m/>
    <n v="51.317900000000002"/>
    <n v="12.005000000000001"/>
    <s v="CO2-Abscheidung [Mt/a]"/>
    <n v="0"/>
    <n v="0"/>
    <n v="0"/>
    <n v="0.526667"/>
    <n v="1.0533330000000001"/>
    <n v="1.58"/>
    <n v="1.58"/>
    <m/>
  </r>
  <r>
    <x v="1"/>
    <s v="DE"/>
    <s v="process_emissions"/>
    <s v="Industry"/>
    <x v="114"/>
    <s v="Saalekreis"/>
    <x v="4"/>
    <s v="CO2 capture"/>
    <m/>
    <n v="51.317900000000002"/>
    <n v="12.005000000000001"/>
    <s v="CO2-Abscheidung [Mt/a]"/>
    <n v="0"/>
    <n v="0"/>
    <n v="0"/>
    <n v="0.42433300000000002"/>
    <n v="0.84866699999999995"/>
    <n v="1.2729999999999999"/>
    <n v="1.2729999999999999"/>
    <m/>
  </r>
  <r>
    <x v="1"/>
    <s v="DE"/>
    <s v="process_emissions"/>
    <s v="Industry"/>
    <x v="145"/>
    <s v="Dithmarschen"/>
    <x v="5"/>
    <s v="CO2 capture"/>
    <m/>
    <n v="53.901299999999999"/>
    <n v="9.1219000000000001"/>
    <s v="CO2-Abscheidung [Mt/a]"/>
    <n v="0"/>
    <n v="0"/>
    <n v="0"/>
    <n v="9.2999999999999999E-2"/>
    <n v="0.186"/>
    <n v="0.27900000000000003"/>
    <n v="0.27900000000000003"/>
    <m/>
  </r>
  <r>
    <x v="1"/>
    <s v="DE"/>
    <s v="process_emissions"/>
    <s v="Industry"/>
    <x v="145"/>
    <s v="Dithmarschen"/>
    <x v="4"/>
    <s v="CO2 capture"/>
    <m/>
    <n v="53.983279000000003"/>
    <n v="9.0984610000000004"/>
    <s v="CO2-Abscheidung [Mt/a]"/>
    <n v="0"/>
    <n v="0"/>
    <n v="0"/>
    <n v="0.62866699999999998"/>
    <n v="1.257333"/>
    <n v="1.8859999999999999"/>
    <n v="1.8859999999999999"/>
    <m/>
  </r>
  <r>
    <x v="2"/>
    <m/>
    <m/>
    <m/>
    <x v="146"/>
    <m/>
    <x v="7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0157A-B1C1-4CD7-897D-C01525379B31}" name="PivotTable2" cacheId="3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3">
  <location ref="A3:G18" firstHeaderRow="0" firstDataRow="1" firstDataCol="1" rowPageCount="1" colPageCount="1"/>
  <pivotFields count="20"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Page" showAll="0">
      <items count="152">
        <item x="72"/>
        <item x="71"/>
        <item x="70"/>
        <item x="56"/>
        <item x="0"/>
        <item x="139"/>
        <item x="2"/>
        <item x="79"/>
        <item x="1"/>
        <item x="61"/>
        <item x="30"/>
        <item x="4"/>
        <item x="69"/>
        <item x="3"/>
        <item x="65"/>
        <item x="63"/>
        <item x="64"/>
        <item x="66"/>
        <item x="73"/>
        <item x="140"/>
        <item x="15"/>
        <item x="60"/>
        <item x="27"/>
        <item x="34"/>
        <item x="47"/>
        <item x="16"/>
        <item x="80"/>
        <item x="81"/>
        <item x="40"/>
        <item x="74"/>
        <item x="17"/>
        <item x="82"/>
        <item x="83"/>
        <item x="18"/>
        <item x="57"/>
        <item x="62"/>
        <item x="67"/>
        <item x="68"/>
        <item x="19"/>
        <item x="116"/>
        <item x="58"/>
        <item x="115"/>
        <item x="20"/>
        <item x="117"/>
        <item x="52"/>
        <item x="118"/>
        <item x="120"/>
        <item x="132"/>
        <item x="130"/>
        <item x="128"/>
        <item x="86"/>
        <item x="85"/>
        <item x="11"/>
        <item x="84"/>
        <item x="89"/>
        <item x="32"/>
        <item x="110"/>
        <item x="12"/>
        <item x="92"/>
        <item x="55"/>
        <item x="46"/>
        <item x="122"/>
        <item x="121"/>
        <item x="53"/>
        <item x="123"/>
        <item x="136"/>
        <item x="26"/>
        <item x="109"/>
        <item x="25"/>
        <item x="45"/>
        <item x="42"/>
        <item x="39"/>
        <item x="41"/>
        <item x="6"/>
        <item x="141"/>
        <item x="44"/>
        <item x="135"/>
        <item x="134"/>
        <item x="133"/>
        <item x="131"/>
        <item x="99"/>
        <item x="137"/>
        <item x="104"/>
        <item x="101"/>
        <item x="105"/>
        <item x="98"/>
        <item x="28"/>
        <item x="51"/>
        <item x="36"/>
        <item x="142"/>
        <item x="106"/>
        <item x="93"/>
        <item x="96"/>
        <item x="97"/>
        <item x="48"/>
        <item x="94"/>
        <item x="49"/>
        <item x="95"/>
        <item x="143"/>
        <item x="103"/>
        <item x="8"/>
        <item x="7"/>
        <item x="107"/>
        <item x="35"/>
        <item x="54"/>
        <item x="50"/>
        <item x="108"/>
        <item x="9"/>
        <item x="100"/>
        <item x="102"/>
        <item x="37"/>
        <item x="38"/>
        <item x="31"/>
        <item x="10"/>
        <item x="90"/>
        <item x="33"/>
        <item x="13"/>
        <item x="75"/>
        <item x="76"/>
        <item x="59"/>
        <item x="14"/>
        <item m="1" x="148"/>
        <item x="78"/>
        <item m="1" x="147"/>
        <item x="77"/>
        <item x="138"/>
        <item x="119"/>
        <item x="144"/>
        <item x="111"/>
        <item x="113"/>
        <item x="43"/>
        <item x="22"/>
        <item x="29"/>
        <item x="112"/>
        <item x="114"/>
        <item x="21"/>
        <item x="125"/>
        <item x="126"/>
        <item x="145"/>
        <item x="124"/>
        <item x="129"/>
        <item x="5"/>
        <item x="127"/>
        <item x="91"/>
        <item x="88"/>
        <item x="23"/>
        <item x="87"/>
        <item x="24"/>
        <item x="146"/>
        <item m="1" x="149"/>
        <item m="1" x="150"/>
        <item t="default"/>
      </items>
    </pivotField>
    <pivotField showAll="0"/>
    <pivotField axis="axisRow" showAll="0">
      <items count="9">
        <item x="0"/>
        <item x="5"/>
        <item x="3"/>
        <item x="1"/>
        <item x="2"/>
        <item x="4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2">
    <field x="0"/>
    <field x="6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3"/>
    </i>
    <i r="1">
      <x v="4"/>
    </i>
    <i>
      <x v="2"/>
    </i>
    <i r="1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4" hier="-1"/>
  </pageFields>
  <dataFields count="6">
    <dataField name="Summe von 2025" fld="13" baseField="0" baseItem="0"/>
    <dataField name="Summe von 2030" fld="14" baseField="0" baseItem="0"/>
    <dataField name="Summe von 2035" fld="15" baseField="0" baseItem="0"/>
    <dataField name="Summe von 2040" fld="16" baseField="0" baseItem="0"/>
    <dataField name="Summe von 2045" fld="17" baseField="0" baseItem="0"/>
    <dataField name="Summe von 2050" fld="18" baseField="0" baseItem="0"/>
  </dataFields>
  <formats count="1">
    <format dxfId="1">
      <pivotArea dataOnly="0" fieldPosition="0">
        <references count="1">
          <reference field="6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4" zoomScale="55" zoomScaleNormal="55" workbookViewId="0">
      <selection activeCell="T59" sqref="T59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L30"/>
  <sheetViews>
    <sheetView workbookViewId="0">
      <selection activeCell="K19" sqref="K19"/>
    </sheetView>
  </sheetViews>
  <sheetFormatPr baseColWidth="10" defaultColWidth="32.7109375" defaultRowHeight="15" x14ac:dyDescent="0.25"/>
  <cols>
    <col min="3" max="8" width="9.28515625" customWidth="1"/>
    <col min="9" max="9" width="11.42578125" customWidth="1"/>
  </cols>
  <sheetData>
    <row r="1" spans="1:12" ht="15.6" customHeight="1" thickBot="1" x14ac:dyDescent="0.3">
      <c r="A1" s="47" t="s">
        <v>8</v>
      </c>
      <c r="B1" s="48" t="s">
        <v>9</v>
      </c>
      <c r="C1" s="49">
        <v>2021</v>
      </c>
      <c r="D1" s="49">
        <v>2025</v>
      </c>
      <c r="E1" s="49">
        <v>2030</v>
      </c>
      <c r="F1" s="49">
        <v>2035</v>
      </c>
      <c r="G1" s="49">
        <v>2040</v>
      </c>
      <c r="H1" s="50">
        <v>2045</v>
      </c>
      <c r="I1" s="50" t="s">
        <v>10</v>
      </c>
      <c r="J1" t="s">
        <v>11</v>
      </c>
      <c r="L1" t="s">
        <v>12</v>
      </c>
    </row>
    <row r="2" spans="1:12" ht="16.899999999999999" customHeight="1" x14ac:dyDescent="0.25">
      <c r="A2" s="109" t="s">
        <v>13</v>
      </c>
      <c r="B2" s="4" t="s">
        <v>14</v>
      </c>
      <c r="C2" s="26">
        <v>13.6</v>
      </c>
      <c r="D2" s="26">
        <v>11.9</v>
      </c>
      <c r="E2" s="26">
        <v>12.9</v>
      </c>
      <c r="F2" s="26">
        <v>11.8</v>
      </c>
      <c r="G2" s="26">
        <v>10.8</v>
      </c>
      <c r="H2" s="27">
        <v>9.6999999999999993</v>
      </c>
      <c r="I2" s="51">
        <f t="shared" ref="I2:I30" si="0">H2/H$30</f>
        <v>0.48499999999999999</v>
      </c>
      <c r="J2" t="s">
        <v>15</v>
      </c>
      <c r="K2" s="3">
        <f>SUM(Zement_O_Strom!C2:C31)/1000000</f>
        <v>8.9846509999699986</v>
      </c>
      <c r="L2" s="61">
        <f>(K2/H2)-1</f>
        <v>-7.3747319590721672E-2</v>
      </c>
    </row>
    <row r="3" spans="1:12" ht="16.899999999999999" customHeight="1" x14ac:dyDescent="0.25">
      <c r="A3" s="110"/>
      <c r="B3" s="6" t="s">
        <v>16</v>
      </c>
      <c r="C3" s="28">
        <v>4.5</v>
      </c>
      <c r="D3" s="28">
        <v>3.5</v>
      </c>
      <c r="E3" s="28">
        <v>4.2</v>
      </c>
      <c r="F3" s="28">
        <v>3.5</v>
      </c>
      <c r="G3" s="28">
        <v>3.2</v>
      </c>
      <c r="H3" s="29">
        <v>3</v>
      </c>
      <c r="I3" s="52">
        <f t="shared" si="0"/>
        <v>0.15</v>
      </c>
      <c r="J3" t="s">
        <v>17</v>
      </c>
      <c r="K3" s="3">
        <f>SUM(Kalk_O_Strom!C2:C53)/1000000</f>
        <v>3.4972756230080013</v>
      </c>
      <c r="L3" s="61">
        <f>(K3/H3)-1</f>
        <v>0.16575854100266718</v>
      </c>
    </row>
    <row r="4" spans="1:12" ht="16.899999999999999" customHeight="1" x14ac:dyDescent="0.25">
      <c r="A4" s="110"/>
      <c r="B4" s="7" t="s">
        <v>18</v>
      </c>
      <c r="C4" s="30">
        <v>0.9</v>
      </c>
      <c r="D4" s="30">
        <v>0.9</v>
      </c>
      <c r="E4" s="30">
        <v>1</v>
      </c>
      <c r="F4" s="30">
        <v>1</v>
      </c>
      <c r="G4" s="30">
        <v>1</v>
      </c>
      <c r="H4" s="31">
        <v>1</v>
      </c>
      <c r="I4" s="53">
        <f t="shared" si="0"/>
        <v>0.05</v>
      </c>
      <c r="J4" t="s">
        <v>19</v>
      </c>
      <c r="K4" s="3">
        <f>SUM(K2:K3)</f>
        <v>12.481926622977999</v>
      </c>
      <c r="L4" s="61">
        <f>(K4/H6)-1</f>
        <v>-0.12099108288887328</v>
      </c>
    </row>
    <row r="5" spans="1:12" ht="17.45" customHeight="1" thickBot="1" x14ac:dyDescent="0.3">
      <c r="A5" s="111"/>
      <c r="B5" s="9" t="s">
        <v>20</v>
      </c>
      <c r="C5" s="32">
        <v>0.8</v>
      </c>
      <c r="D5" s="32">
        <v>0.7</v>
      </c>
      <c r="E5" s="32">
        <v>0.8</v>
      </c>
      <c r="F5" s="32">
        <v>0.7</v>
      </c>
      <c r="G5" s="32">
        <v>0.6</v>
      </c>
      <c r="H5" s="33">
        <v>0.5</v>
      </c>
      <c r="I5" s="54">
        <f t="shared" si="0"/>
        <v>2.5000000000000001E-2</v>
      </c>
      <c r="J5" t="s">
        <v>21</v>
      </c>
      <c r="K5" s="3">
        <f>SUM(MVA_O_Strom!C3:C56)/1000000</f>
        <v>34.608829817699998</v>
      </c>
    </row>
    <row r="6" spans="1:12" ht="17.45" customHeight="1" thickBot="1" x14ac:dyDescent="0.3">
      <c r="A6" s="5"/>
      <c r="B6" s="25"/>
      <c r="C6" s="34">
        <f t="shared" ref="C6:H6" si="1">SUM(C2:C5)</f>
        <v>19.8</v>
      </c>
      <c r="D6" s="34">
        <f t="shared" si="1"/>
        <v>17</v>
      </c>
      <c r="E6" s="34">
        <f t="shared" si="1"/>
        <v>18.900000000000002</v>
      </c>
      <c r="F6" s="34">
        <f t="shared" si="1"/>
        <v>17</v>
      </c>
      <c r="G6" s="34">
        <f t="shared" si="1"/>
        <v>15.6</v>
      </c>
      <c r="H6" s="35">
        <f t="shared" si="1"/>
        <v>14.2</v>
      </c>
      <c r="I6" s="55">
        <f t="shared" si="0"/>
        <v>0.71</v>
      </c>
      <c r="J6" t="s">
        <v>22</v>
      </c>
      <c r="K6" s="3">
        <f>SUM(K5,K3,K2)</f>
        <v>47.090756440678</v>
      </c>
    </row>
    <row r="7" spans="1:12" ht="16.899999999999999" customHeight="1" x14ac:dyDescent="0.25">
      <c r="A7" s="109" t="s">
        <v>23</v>
      </c>
      <c r="B7" s="4" t="s">
        <v>24</v>
      </c>
      <c r="C7" s="26">
        <v>4</v>
      </c>
      <c r="D7" s="26">
        <v>3.4</v>
      </c>
      <c r="E7" s="26">
        <v>4.0999999999999996</v>
      </c>
      <c r="F7" s="26">
        <v>3.8</v>
      </c>
      <c r="G7" s="26">
        <v>3.2</v>
      </c>
      <c r="H7" s="27">
        <v>0</v>
      </c>
      <c r="I7" s="51">
        <f t="shared" si="0"/>
        <v>0</v>
      </c>
      <c r="J7" t="s">
        <v>25</v>
      </c>
      <c r="K7" s="3"/>
    </row>
    <row r="8" spans="1:12" ht="16.899999999999999" customHeight="1" x14ac:dyDescent="0.25">
      <c r="A8" s="110"/>
      <c r="B8" s="6" t="s">
        <v>26</v>
      </c>
      <c r="C8" s="28">
        <v>0.4</v>
      </c>
      <c r="D8" s="28">
        <v>0.3</v>
      </c>
      <c r="E8" s="28">
        <v>0.2</v>
      </c>
      <c r="F8" s="28">
        <v>0.1</v>
      </c>
      <c r="G8" s="28">
        <v>0</v>
      </c>
      <c r="H8" s="29">
        <v>0</v>
      </c>
      <c r="I8" s="52">
        <f t="shared" si="0"/>
        <v>0</v>
      </c>
      <c r="J8" t="s">
        <v>27</v>
      </c>
      <c r="K8" s="3">
        <f>SUM(Ammoniak_O_Strom!C2:C5)/1000000</f>
        <v>3.7229539996999996</v>
      </c>
    </row>
    <row r="9" spans="1:12" ht="16.899999999999999" customHeight="1" x14ac:dyDescent="0.25">
      <c r="A9" s="110"/>
      <c r="B9" s="7" t="s">
        <v>28</v>
      </c>
      <c r="C9" s="30">
        <v>0.1</v>
      </c>
      <c r="D9" s="30">
        <v>0</v>
      </c>
      <c r="E9" s="30">
        <v>0</v>
      </c>
      <c r="F9" s="30">
        <v>0</v>
      </c>
      <c r="G9" s="30">
        <v>0</v>
      </c>
      <c r="H9" s="31">
        <v>0</v>
      </c>
      <c r="I9" s="53">
        <f t="shared" si="0"/>
        <v>0</v>
      </c>
      <c r="J9" t="s">
        <v>29</v>
      </c>
      <c r="K9" s="3">
        <f>SUM(Methanol_O_Strom!C2:C5)/1000000</f>
        <v>1.3740319999999999</v>
      </c>
    </row>
    <row r="10" spans="1:12" ht="16.899999999999999" customHeight="1" x14ac:dyDescent="0.25">
      <c r="A10" s="110"/>
      <c r="B10" s="6" t="s">
        <v>30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9">
        <v>0</v>
      </c>
      <c r="I10" s="52">
        <f t="shared" si="0"/>
        <v>0</v>
      </c>
      <c r="J10" t="s">
        <v>31</v>
      </c>
      <c r="K10" s="3">
        <f>SUM(Olefins_O_Strom!C2:C16)/1000000</f>
        <v>13.338450840490003</v>
      </c>
    </row>
    <row r="11" spans="1:12" ht="16.899999999999999" customHeight="1" x14ac:dyDescent="0.25">
      <c r="A11" s="110"/>
      <c r="B11" s="7" t="s">
        <v>32</v>
      </c>
      <c r="C11" s="30">
        <v>0.5</v>
      </c>
      <c r="D11" s="30">
        <v>0.4</v>
      </c>
      <c r="E11" s="30">
        <v>0.5</v>
      </c>
      <c r="F11" s="30">
        <v>0.5</v>
      </c>
      <c r="G11" s="30">
        <v>0.4</v>
      </c>
      <c r="H11" s="31">
        <v>0.4</v>
      </c>
      <c r="I11" s="53">
        <f t="shared" si="0"/>
        <v>0.02</v>
      </c>
      <c r="J11" t="s">
        <v>33</v>
      </c>
      <c r="K11" s="3">
        <f>SUM(K8:K10)</f>
        <v>18.43543684019</v>
      </c>
    </row>
    <row r="12" spans="1:12" ht="16.899999999999999" customHeight="1" x14ac:dyDescent="0.25">
      <c r="A12" s="110"/>
      <c r="B12" s="6" t="s">
        <v>34</v>
      </c>
      <c r="C12" s="28">
        <v>1.4</v>
      </c>
      <c r="D12" s="28">
        <v>1.2</v>
      </c>
      <c r="E12" s="28">
        <v>1.5</v>
      </c>
      <c r="F12" s="28">
        <v>1.5</v>
      </c>
      <c r="G12" s="28">
        <v>1.4</v>
      </c>
      <c r="H12" s="29">
        <v>1.4</v>
      </c>
      <c r="I12" s="52">
        <f t="shared" si="0"/>
        <v>6.9999999999999993E-2</v>
      </c>
      <c r="J12" s="3"/>
      <c r="L12" s="61">
        <f>(K4/H30)-1</f>
        <v>-0.37590366885110005</v>
      </c>
    </row>
    <row r="13" spans="1:12" ht="17.45" customHeight="1" thickBot="1" x14ac:dyDescent="0.3">
      <c r="A13" s="111"/>
      <c r="B13" s="8" t="s">
        <v>35</v>
      </c>
      <c r="C13" s="36">
        <v>0.1</v>
      </c>
      <c r="D13" s="36">
        <v>0.1</v>
      </c>
      <c r="E13" s="36">
        <v>0.1</v>
      </c>
      <c r="F13" s="36">
        <v>0.1</v>
      </c>
      <c r="G13" s="36">
        <v>0.1</v>
      </c>
      <c r="H13" s="37">
        <v>0.1</v>
      </c>
      <c r="I13" s="56">
        <f t="shared" si="0"/>
        <v>5.0000000000000001E-3</v>
      </c>
    </row>
    <row r="14" spans="1:12" ht="17.45" customHeight="1" thickBot="1" x14ac:dyDescent="0.3">
      <c r="A14" s="5"/>
      <c r="B14" s="24"/>
      <c r="C14" s="38">
        <f t="shared" ref="C14:H14" si="2">SUM(C7:C13)</f>
        <v>6.5</v>
      </c>
      <c r="D14" s="38">
        <f t="shared" si="2"/>
        <v>5.3999999999999995</v>
      </c>
      <c r="E14" s="38">
        <f t="shared" si="2"/>
        <v>6.3999999999999995</v>
      </c>
      <c r="F14" s="38">
        <f t="shared" si="2"/>
        <v>6</v>
      </c>
      <c r="G14" s="38">
        <f t="shared" si="2"/>
        <v>5.0999999999999996</v>
      </c>
      <c r="H14" s="39">
        <f t="shared" si="2"/>
        <v>1.9</v>
      </c>
      <c r="I14" s="57">
        <f t="shared" si="0"/>
        <v>9.5000000000000001E-2</v>
      </c>
    </row>
    <row r="15" spans="1:12" ht="16.899999999999999" customHeight="1" x14ac:dyDescent="0.25">
      <c r="A15" s="109" t="s">
        <v>36</v>
      </c>
      <c r="B15" s="10" t="s">
        <v>37</v>
      </c>
      <c r="C15" s="40">
        <v>16.399999999999999</v>
      </c>
      <c r="D15" s="40">
        <v>17.399999999999999</v>
      </c>
      <c r="E15" s="40">
        <v>10.4</v>
      </c>
      <c r="F15" s="40">
        <v>5.8</v>
      </c>
      <c r="G15" s="40">
        <v>0</v>
      </c>
      <c r="H15" s="41">
        <v>0</v>
      </c>
      <c r="I15" s="58">
        <f t="shared" si="0"/>
        <v>0</v>
      </c>
    </row>
    <row r="16" spans="1:12" ht="16.899999999999999" customHeight="1" x14ac:dyDescent="0.25">
      <c r="A16" s="110"/>
      <c r="B16" s="7" t="s">
        <v>38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1">
        <v>0</v>
      </c>
      <c r="I16" s="53">
        <f t="shared" si="0"/>
        <v>0</v>
      </c>
    </row>
    <row r="17" spans="1:9" ht="16.899999999999999" customHeight="1" x14ac:dyDescent="0.25">
      <c r="A17" s="110"/>
      <c r="B17" s="6" t="s">
        <v>39</v>
      </c>
      <c r="C17" s="28">
        <v>0.8</v>
      </c>
      <c r="D17" s="28">
        <v>0.6</v>
      </c>
      <c r="E17" s="28">
        <v>0.8</v>
      </c>
      <c r="F17" s="28">
        <v>0.8</v>
      </c>
      <c r="G17" s="28">
        <v>0.8</v>
      </c>
      <c r="H17" s="29">
        <v>0.8</v>
      </c>
      <c r="I17" s="52">
        <f t="shared" si="0"/>
        <v>0.04</v>
      </c>
    </row>
    <row r="18" spans="1:9" ht="16.899999999999999" customHeight="1" x14ac:dyDescent="0.25">
      <c r="A18" s="110"/>
      <c r="B18" s="7" t="s">
        <v>40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1">
        <v>0</v>
      </c>
      <c r="I18" s="53">
        <f t="shared" si="0"/>
        <v>0</v>
      </c>
    </row>
    <row r="19" spans="1:9" ht="16.899999999999999" customHeight="1" x14ac:dyDescent="0.25">
      <c r="A19" s="110"/>
      <c r="B19" s="6" t="s">
        <v>41</v>
      </c>
      <c r="C19" s="28">
        <v>0.1</v>
      </c>
      <c r="D19" s="28">
        <v>0.1</v>
      </c>
      <c r="E19" s="28">
        <v>0.1</v>
      </c>
      <c r="F19" s="28">
        <v>0.1</v>
      </c>
      <c r="G19" s="28">
        <v>0.1</v>
      </c>
      <c r="H19" s="29">
        <v>0.1</v>
      </c>
      <c r="I19" s="52">
        <f t="shared" si="0"/>
        <v>5.0000000000000001E-3</v>
      </c>
    </row>
    <row r="20" spans="1:9" ht="17.45" customHeight="1" thickBot="1" x14ac:dyDescent="0.3">
      <c r="A20" s="111"/>
      <c r="B20" s="8" t="s">
        <v>42</v>
      </c>
      <c r="C20" s="36">
        <v>0.3</v>
      </c>
      <c r="D20" s="36">
        <v>0.3</v>
      </c>
      <c r="E20" s="36">
        <v>0.3</v>
      </c>
      <c r="F20" s="36">
        <v>0.3</v>
      </c>
      <c r="G20" s="36">
        <v>0.3</v>
      </c>
      <c r="H20" s="37">
        <v>0.3</v>
      </c>
      <c r="I20" s="56">
        <f t="shared" si="0"/>
        <v>1.4999999999999999E-2</v>
      </c>
    </row>
    <row r="21" spans="1:9" ht="17.45" customHeight="1" thickBot="1" x14ac:dyDescent="0.3">
      <c r="A21" s="5"/>
      <c r="B21" s="24"/>
      <c r="C21" s="38">
        <f t="shared" ref="C21:H21" si="3">SUM(C15:C20)</f>
        <v>17.600000000000001</v>
      </c>
      <c r="D21" s="38">
        <f t="shared" si="3"/>
        <v>18.400000000000002</v>
      </c>
      <c r="E21" s="38">
        <f t="shared" si="3"/>
        <v>11.600000000000001</v>
      </c>
      <c r="F21" s="38">
        <f t="shared" si="3"/>
        <v>6.9999999999999991</v>
      </c>
      <c r="G21" s="38">
        <f t="shared" si="3"/>
        <v>1.2</v>
      </c>
      <c r="H21" s="39">
        <f t="shared" si="3"/>
        <v>1.2</v>
      </c>
      <c r="I21" s="57">
        <f t="shared" si="0"/>
        <v>0.06</v>
      </c>
    </row>
    <row r="22" spans="1:9" ht="16.899999999999999" customHeight="1" x14ac:dyDescent="0.25">
      <c r="A22" s="109" t="s">
        <v>43</v>
      </c>
      <c r="B22" s="10" t="s">
        <v>44</v>
      </c>
      <c r="C22" s="40">
        <v>0.2</v>
      </c>
      <c r="D22" s="40">
        <v>0.2</v>
      </c>
      <c r="E22" s="40">
        <v>0.2</v>
      </c>
      <c r="F22" s="40">
        <v>0.2</v>
      </c>
      <c r="G22" s="40">
        <v>0.2</v>
      </c>
      <c r="H22" s="41">
        <v>0.2</v>
      </c>
      <c r="I22" s="58">
        <f t="shared" si="0"/>
        <v>0.01</v>
      </c>
    </row>
    <row r="23" spans="1:9" ht="16.899999999999999" customHeight="1" x14ac:dyDescent="0.25">
      <c r="A23" s="110"/>
      <c r="B23" s="7" t="s">
        <v>45</v>
      </c>
      <c r="C23" s="30">
        <v>0.5</v>
      </c>
      <c r="D23" s="30">
        <v>0.5</v>
      </c>
      <c r="E23" s="30">
        <v>0.5</v>
      </c>
      <c r="F23" s="30">
        <v>0.5</v>
      </c>
      <c r="G23" s="30">
        <v>0.5</v>
      </c>
      <c r="H23" s="31">
        <v>0.5</v>
      </c>
      <c r="I23" s="53">
        <f t="shared" si="0"/>
        <v>2.5000000000000001E-2</v>
      </c>
    </row>
    <row r="24" spans="1:9" ht="16.899999999999999" customHeight="1" x14ac:dyDescent="0.25">
      <c r="A24" s="110"/>
      <c r="B24" s="6" t="s">
        <v>46</v>
      </c>
      <c r="C24" s="28">
        <v>1.3</v>
      </c>
      <c r="D24" s="28">
        <v>1.3</v>
      </c>
      <c r="E24" s="28">
        <v>1.3</v>
      </c>
      <c r="F24" s="28">
        <v>1.3</v>
      </c>
      <c r="G24" s="28">
        <v>1.3</v>
      </c>
      <c r="H24" s="29">
        <v>1.3</v>
      </c>
      <c r="I24" s="52">
        <f t="shared" si="0"/>
        <v>6.5000000000000002E-2</v>
      </c>
    </row>
    <row r="25" spans="1:9" ht="16.899999999999999" customHeight="1" x14ac:dyDescent="0.25">
      <c r="A25" s="110"/>
      <c r="B25" s="7" t="s">
        <v>47</v>
      </c>
      <c r="C25" s="30">
        <v>8</v>
      </c>
      <c r="D25" s="30">
        <v>6.2</v>
      </c>
      <c r="E25" s="30">
        <v>3.9</v>
      </c>
      <c r="F25" s="30">
        <v>1.2</v>
      </c>
      <c r="G25" s="30">
        <v>0</v>
      </c>
      <c r="H25" s="31">
        <v>0</v>
      </c>
      <c r="I25" s="53">
        <f t="shared" si="0"/>
        <v>0</v>
      </c>
    </row>
    <row r="26" spans="1:9" ht="16.899999999999999" customHeight="1" x14ac:dyDescent="0.25">
      <c r="A26" s="110"/>
      <c r="B26" s="6" t="s">
        <v>48</v>
      </c>
      <c r="C26" s="28">
        <v>0.1</v>
      </c>
      <c r="D26" s="28">
        <v>0.1</v>
      </c>
      <c r="E26" s="28">
        <v>0.1</v>
      </c>
      <c r="F26" s="28">
        <v>0.1</v>
      </c>
      <c r="G26" s="28">
        <v>0.1</v>
      </c>
      <c r="H26" s="29">
        <v>0.1</v>
      </c>
      <c r="I26" s="52">
        <f t="shared" si="0"/>
        <v>5.0000000000000001E-3</v>
      </c>
    </row>
    <row r="27" spans="1:9" ht="16.899999999999999" customHeight="1" x14ac:dyDescent="0.25">
      <c r="A27" s="110"/>
      <c r="B27" s="7" t="s">
        <v>49</v>
      </c>
      <c r="C27" s="30">
        <v>0.3</v>
      </c>
      <c r="D27" s="30">
        <v>0.3</v>
      </c>
      <c r="E27" s="30">
        <v>0.3</v>
      </c>
      <c r="F27" s="30">
        <v>0.3</v>
      </c>
      <c r="G27" s="30">
        <v>0.3</v>
      </c>
      <c r="H27" s="31">
        <v>0.3</v>
      </c>
      <c r="I27" s="53">
        <f t="shared" si="0"/>
        <v>1.4999999999999999E-2</v>
      </c>
    </row>
    <row r="28" spans="1:9" ht="17.45" customHeight="1" thickBot="1" x14ac:dyDescent="0.3">
      <c r="A28" s="111"/>
      <c r="B28" s="9" t="s">
        <v>50</v>
      </c>
      <c r="C28" s="32">
        <v>0.1</v>
      </c>
      <c r="D28" s="32">
        <v>0.1</v>
      </c>
      <c r="E28" s="32">
        <v>0.1</v>
      </c>
      <c r="F28" s="32">
        <v>0.1</v>
      </c>
      <c r="G28" s="32">
        <v>0.1</v>
      </c>
      <c r="H28" s="33">
        <v>0.1</v>
      </c>
      <c r="I28" s="54">
        <f t="shared" si="0"/>
        <v>5.0000000000000001E-3</v>
      </c>
    </row>
    <row r="29" spans="1:9" ht="15" customHeight="1" thickBot="1" x14ac:dyDescent="0.3">
      <c r="A29" s="17"/>
      <c r="B29" s="18"/>
      <c r="C29" s="42">
        <f t="shared" ref="C29:H29" si="4">SUM(C22:C28)</f>
        <v>10.5</v>
      </c>
      <c r="D29" s="42">
        <f t="shared" si="4"/>
        <v>8.6999999999999993</v>
      </c>
      <c r="E29" s="42">
        <f t="shared" si="4"/>
        <v>6.3999999999999995</v>
      </c>
      <c r="F29" s="42">
        <f t="shared" si="4"/>
        <v>3.7</v>
      </c>
      <c r="G29" s="42">
        <f t="shared" si="4"/>
        <v>2.5</v>
      </c>
      <c r="H29" s="43">
        <f t="shared" si="4"/>
        <v>2.5</v>
      </c>
      <c r="I29" s="59">
        <f t="shared" si="0"/>
        <v>0.125</v>
      </c>
    </row>
    <row r="30" spans="1:9" ht="17.45" customHeight="1" thickBot="1" x14ac:dyDescent="0.3">
      <c r="A30" s="107" t="s">
        <v>51</v>
      </c>
      <c r="B30" s="108"/>
      <c r="C30" s="44">
        <v>54.6</v>
      </c>
      <c r="D30" s="44">
        <v>49.5</v>
      </c>
      <c r="E30" s="44">
        <v>43.3</v>
      </c>
      <c r="F30" s="44">
        <v>33.700000000000003</v>
      </c>
      <c r="G30" s="44">
        <v>24.7</v>
      </c>
      <c r="H30" s="45">
        <v>20</v>
      </c>
      <c r="I30" s="60">
        <f t="shared" si="0"/>
        <v>1</v>
      </c>
    </row>
  </sheetData>
  <mergeCells count="5">
    <mergeCell ref="A30:B30"/>
    <mergeCell ref="A22:A28"/>
    <mergeCell ref="A15:A20"/>
    <mergeCell ref="A2:A5"/>
    <mergeCell ref="A7:A1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O37"/>
  <sheetViews>
    <sheetView zoomScale="85" zoomScaleNormal="85" workbookViewId="0">
      <selection activeCell="B5" sqref="B5"/>
    </sheetView>
  </sheetViews>
  <sheetFormatPr baseColWidth="10" defaultRowHeight="15" x14ac:dyDescent="0.25"/>
  <cols>
    <col min="1" max="1" width="24.28515625" bestFit="1" customWidth="1"/>
    <col min="2" max="3" width="9" bestFit="1" customWidth="1"/>
    <col min="4" max="4" width="10.5703125" bestFit="1" customWidth="1"/>
    <col min="5" max="7" width="11.5703125" bestFit="1" customWidth="1"/>
    <col min="9" max="9" width="24.140625" bestFit="1" customWidth="1"/>
    <col min="10" max="10" width="9" bestFit="1" customWidth="1"/>
    <col min="11" max="12" width="10.5703125" bestFit="1" customWidth="1"/>
    <col min="13" max="15" width="11.5703125" bestFit="1" customWidth="1"/>
  </cols>
  <sheetData>
    <row r="1" spans="1:15" x14ac:dyDescent="0.25">
      <c r="A1" t="s">
        <v>52</v>
      </c>
    </row>
    <row r="3" spans="1:15" x14ac:dyDescent="0.25">
      <c r="A3" s="115" t="s">
        <v>53</v>
      </c>
      <c r="B3" s="113"/>
      <c r="C3" s="113"/>
      <c r="D3" s="113"/>
      <c r="E3" s="113"/>
      <c r="F3" s="113"/>
      <c r="G3" s="113"/>
      <c r="H3" s="62"/>
      <c r="I3" s="115" t="s">
        <v>53</v>
      </c>
      <c r="J3" s="113"/>
      <c r="K3" s="113"/>
      <c r="L3" s="113"/>
      <c r="M3" s="113"/>
      <c r="N3" s="113"/>
      <c r="O3" s="113"/>
    </row>
    <row r="4" spans="1:15" x14ac:dyDescent="0.25">
      <c r="A4" t="s">
        <v>54</v>
      </c>
      <c r="B4">
        <v>2025</v>
      </c>
      <c r="C4">
        <v>2030</v>
      </c>
      <c r="D4">
        <v>2035</v>
      </c>
      <c r="E4">
        <v>2040</v>
      </c>
      <c r="F4">
        <v>2045</v>
      </c>
      <c r="G4">
        <v>2050</v>
      </c>
      <c r="I4" s="66" t="s">
        <v>55</v>
      </c>
      <c r="J4" s="66">
        <v>2025</v>
      </c>
      <c r="K4" s="66">
        <v>2030</v>
      </c>
      <c r="L4" s="66">
        <v>2035</v>
      </c>
      <c r="M4" s="66">
        <v>2040</v>
      </c>
      <c r="N4" s="66">
        <v>2045</v>
      </c>
      <c r="O4" s="66">
        <v>2050</v>
      </c>
    </row>
    <row r="5" spans="1:15" x14ac:dyDescent="0.25">
      <c r="A5" t="s">
        <v>56</v>
      </c>
      <c r="B5" s="11">
        <v>0</v>
      </c>
      <c r="C5" s="11">
        <v>0</v>
      </c>
      <c r="D5" s="11">
        <v>1.5711666666666668</v>
      </c>
      <c r="E5" s="11">
        <v>7.855833333333333</v>
      </c>
      <c r="F5" s="11">
        <v>26.707885086666668</v>
      </c>
      <c r="G5" s="11">
        <v>25.532526726666671</v>
      </c>
      <c r="I5" s="66" t="s">
        <v>57</v>
      </c>
      <c r="J5" s="67">
        <v>-0.30524782099999997</v>
      </c>
      <c r="K5" s="67">
        <v>-1.8479283870000001</v>
      </c>
      <c r="L5" s="67">
        <v>-4.765026056</v>
      </c>
      <c r="M5" s="67">
        <v>-6.5626178229999992</v>
      </c>
      <c r="N5" s="67">
        <v>-8.4872122300000008</v>
      </c>
      <c r="O5" s="67">
        <v>-8.036079784</v>
      </c>
    </row>
    <row r="6" spans="1:15" x14ac:dyDescent="0.25">
      <c r="A6" t="s">
        <v>58</v>
      </c>
      <c r="B6" s="11">
        <v>0</v>
      </c>
      <c r="C6" s="11">
        <v>0</v>
      </c>
      <c r="D6" s="11">
        <v>6.8750000000000006E-2</v>
      </c>
      <c r="E6" s="11">
        <v>0.6875</v>
      </c>
      <c r="F6" s="11">
        <v>1.3978263750000002</v>
      </c>
      <c r="G6" s="11">
        <v>1.3632286249999999</v>
      </c>
      <c r="I6" s="66" t="s">
        <v>59</v>
      </c>
      <c r="J6" s="67">
        <v>0</v>
      </c>
      <c r="K6" s="67">
        <v>-0.21617538200000003</v>
      </c>
      <c r="L6" s="67">
        <v>-1.1381008269999999</v>
      </c>
      <c r="M6" s="67">
        <v>-1.8243972309999998</v>
      </c>
      <c r="N6" s="67">
        <v>-3.2465367789999999</v>
      </c>
      <c r="O6" s="67">
        <v>-3.158032231</v>
      </c>
    </row>
    <row r="7" spans="1:15" x14ac:dyDescent="0.25">
      <c r="A7" t="s">
        <v>60</v>
      </c>
      <c r="B7" s="11">
        <v>0</v>
      </c>
      <c r="C7" s="11">
        <v>7.0000000000000007E-2</v>
      </c>
      <c r="D7" s="11">
        <v>0.24499999999999997</v>
      </c>
      <c r="E7" s="11">
        <v>0.7</v>
      </c>
      <c r="F7" s="11">
        <v>3.8174415999999995</v>
      </c>
      <c r="G7" s="11">
        <v>3.7229541999999998</v>
      </c>
      <c r="I7" s="66" t="s">
        <v>61</v>
      </c>
      <c r="J7" s="67">
        <v>-0.63819824957303739</v>
      </c>
      <c r="K7" s="67">
        <v>-3.87258070075689</v>
      </c>
      <c r="L7" s="67">
        <v>-10.517968246314835</v>
      </c>
      <c r="M7" s="67">
        <v>-16.978397983873567</v>
      </c>
      <c r="N7" s="67">
        <v>-26.69718096383458</v>
      </c>
      <c r="O7" s="67">
        <v>-27.118375719208629</v>
      </c>
    </row>
    <row r="8" spans="1:15" x14ac:dyDescent="0.25">
      <c r="A8" t="s">
        <v>62</v>
      </c>
      <c r="B8" s="11">
        <v>0</v>
      </c>
      <c r="C8" s="11">
        <v>0.19198666666666664</v>
      </c>
      <c r="D8" s="11">
        <v>0.50819999999999999</v>
      </c>
      <c r="E8" s="11">
        <v>0.64936666666666665</v>
      </c>
      <c r="F8" s="11">
        <v>0.64936666666666665</v>
      </c>
      <c r="G8" s="11">
        <v>0.63329402290000003</v>
      </c>
      <c r="I8" s="66"/>
      <c r="J8" s="67"/>
      <c r="K8" s="67"/>
      <c r="L8" s="67"/>
      <c r="M8" s="67"/>
      <c r="N8" s="67"/>
      <c r="O8" s="67"/>
    </row>
    <row r="9" spans="1:15" x14ac:dyDescent="0.25">
      <c r="I9" s="68" t="s">
        <v>63</v>
      </c>
      <c r="J9" s="68">
        <f t="shared" ref="J9:O9" si="0">SUM(B5:B8)+SUM(J5:J7)</f>
        <v>-0.94344607057303742</v>
      </c>
      <c r="K9" s="68">
        <f t="shared" si="0"/>
        <v>-5.6746978030902229</v>
      </c>
      <c r="L9" s="68">
        <f t="shared" si="0"/>
        <v>-14.027978462648168</v>
      </c>
      <c r="M9" s="68">
        <f t="shared" si="0"/>
        <v>-15.472713037873566</v>
      </c>
      <c r="N9" s="68">
        <f t="shared" si="0"/>
        <v>-5.8584102445012434</v>
      </c>
      <c r="O9" s="68">
        <f t="shared" si="0"/>
        <v>-7.060484159641959</v>
      </c>
    </row>
    <row r="10" spans="1:15" x14ac:dyDescent="0.25">
      <c r="A10" s="114" t="s">
        <v>64</v>
      </c>
      <c r="B10" s="113"/>
      <c r="C10" s="113"/>
      <c r="D10" s="113"/>
      <c r="E10" s="113"/>
      <c r="F10" s="113"/>
      <c r="G10" s="113"/>
      <c r="I10" s="116" t="s">
        <v>64</v>
      </c>
      <c r="J10" s="113"/>
      <c r="K10" s="113"/>
      <c r="L10" s="113"/>
      <c r="M10" s="113"/>
      <c r="N10" s="113"/>
      <c r="O10" s="113"/>
    </row>
    <row r="11" spans="1:15" x14ac:dyDescent="0.25">
      <c r="A11" t="s">
        <v>54</v>
      </c>
      <c r="B11">
        <v>2025</v>
      </c>
      <c r="C11">
        <v>2030</v>
      </c>
      <c r="D11">
        <v>2035</v>
      </c>
      <c r="E11">
        <v>2040</v>
      </c>
      <c r="F11">
        <v>2045</v>
      </c>
      <c r="G11">
        <v>2050</v>
      </c>
      <c r="I11" s="66" t="s">
        <v>55</v>
      </c>
      <c r="J11" s="66">
        <v>2025</v>
      </c>
      <c r="K11" s="66">
        <v>2030</v>
      </c>
      <c r="L11" s="66">
        <v>2035</v>
      </c>
      <c r="M11" s="66">
        <v>2040</v>
      </c>
      <c r="N11" s="66">
        <v>2045</v>
      </c>
      <c r="O11" s="66">
        <v>2050</v>
      </c>
    </row>
    <row r="12" spans="1:15" x14ac:dyDescent="0.25">
      <c r="A12" t="s">
        <v>56</v>
      </c>
      <c r="B12" s="11">
        <v>0</v>
      </c>
      <c r="C12" s="11">
        <v>0</v>
      </c>
      <c r="D12" s="11">
        <v>0.39279166666666671</v>
      </c>
      <c r="E12" s="11">
        <v>6.2846666666666673</v>
      </c>
      <c r="F12" s="11">
        <v>6.2846666666666673</v>
      </c>
      <c r="G12" s="11">
        <v>6.2846666666666673</v>
      </c>
      <c r="I12" s="66" t="s">
        <v>57</v>
      </c>
      <c r="J12" s="67">
        <v>-0.34619946000000007</v>
      </c>
      <c r="K12" s="67">
        <v>-1.8535674199999999</v>
      </c>
      <c r="L12" s="67">
        <v>-5.3248471419999994</v>
      </c>
      <c r="M12" s="67">
        <v>-7.9669578759999995</v>
      </c>
      <c r="N12" s="67">
        <v>-11.249565841999999</v>
      </c>
      <c r="O12" s="67">
        <v>-10.564175737999999</v>
      </c>
    </row>
    <row r="13" spans="1:15" x14ac:dyDescent="0.25">
      <c r="A13" t="s">
        <v>58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I13" s="66" t="s">
        <v>59</v>
      </c>
      <c r="J13" s="67">
        <v>0</v>
      </c>
      <c r="K13" s="67">
        <v>-0.17959060399999999</v>
      </c>
      <c r="L13" s="67">
        <v>-1.1986645290000002</v>
      </c>
      <c r="M13" s="67">
        <v>-2.1775989950000003</v>
      </c>
      <c r="N13" s="67">
        <v>-4.4376801699999993</v>
      </c>
      <c r="O13" s="67">
        <v>-4.5742166050000002</v>
      </c>
    </row>
    <row r="14" spans="1:15" x14ac:dyDescent="0.25">
      <c r="A14" t="s">
        <v>60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I14" s="66" t="s">
        <v>61</v>
      </c>
      <c r="J14" s="67">
        <v>-0.59349467592592609</v>
      </c>
      <c r="K14" s="67">
        <v>-3.457241666666667</v>
      </c>
      <c r="L14" s="67">
        <v>-8.470592407407409</v>
      </c>
      <c r="M14" s="67">
        <v>-12.548044768518523</v>
      </c>
      <c r="N14" s="67">
        <v>-17.432887500000003</v>
      </c>
      <c r="O14" s="67">
        <v>-17.432887500000003</v>
      </c>
    </row>
    <row r="15" spans="1:15" x14ac:dyDescent="0.25">
      <c r="A15" t="s">
        <v>62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I15" s="66"/>
      <c r="J15" s="67"/>
      <c r="K15" s="67"/>
      <c r="L15" s="67"/>
      <c r="M15" s="67"/>
      <c r="N15" s="67"/>
      <c r="O15" s="67"/>
    </row>
    <row r="16" spans="1:15" x14ac:dyDescent="0.25">
      <c r="I16" s="68" t="s">
        <v>63</v>
      </c>
      <c r="J16" s="68">
        <f t="shared" ref="J16:O16" si="1">SUM(B12:B15)+SUM(J12:J14)</f>
        <v>-0.9396941359259261</v>
      </c>
      <c r="K16" s="68">
        <f t="shared" si="1"/>
        <v>-5.490399690666667</v>
      </c>
      <c r="L16" s="68">
        <f t="shared" si="1"/>
        <v>-14.601312411740741</v>
      </c>
      <c r="M16" s="68">
        <f t="shared" si="1"/>
        <v>-16.407934972851855</v>
      </c>
      <c r="N16" s="68">
        <f t="shared" si="1"/>
        <v>-26.835466845333336</v>
      </c>
      <c r="O16" s="68">
        <f t="shared" si="1"/>
        <v>-26.286613176333333</v>
      </c>
    </row>
    <row r="17" spans="1:15" x14ac:dyDescent="0.25">
      <c r="A17" s="114" t="s">
        <v>65</v>
      </c>
      <c r="B17" s="113"/>
      <c r="C17" s="113"/>
      <c r="D17" s="113"/>
      <c r="E17" s="113"/>
      <c r="F17" s="113"/>
      <c r="G17" s="113"/>
      <c r="I17" s="116" t="s">
        <v>65</v>
      </c>
      <c r="J17" s="113"/>
      <c r="K17" s="113"/>
      <c r="L17" s="113"/>
      <c r="M17" s="113"/>
      <c r="N17" s="113"/>
      <c r="O17" s="113"/>
    </row>
    <row r="18" spans="1:15" x14ac:dyDescent="0.25">
      <c r="A18" t="s">
        <v>54</v>
      </c>
      <c r="B18">
        <v>2025</v>
      </c>
      <c r="C18">
        <v>2030</v>
      </c>
      <c r="D18">
        <v>2035</v>
      </c>
      <c r="E18">
        <v>2040</v>
      </c>
      <c r="F18">
        <v>2045</v>
      </c>
      <c r="G18">
        <v>2050</v>
      </c>
      <c r="I18" s="66" t="s">
        <v>55</v>
      </c>
      <c r="J18" s="66">
        <v>2025</v>
      </c>
      <c r="K18" s="66">
        <v>2030</v>
      </c>
      <c r="L18" s="66">
        <v>2035</v>
      </c>
      <c r="M18" s="66">
        <v>2040</v>
      </c>
      <c r="N18" s="66">
        <v>2045</v>
      </c>
      <c r="O18" s="66">
        <v>2050</v>
      </c>
    </row>
    <row r="19" spans="1:15" x14ac:dyDescent="0.25">
      <c r="A19" t="s">
        <v>56</v>
      </c>
      <c r="B19" s="11">
        <v>0</v>
      </c>
      <c r="C19" s="11">
        <v>0</v>
      </c>
      <c r="D19" s="11">
        <v>0.40752135416666668</v>
      </c>
      <c r="E19" s="11">
        <v>6.5988999999999995</v>
      </c>
      <c r="F19" s="11">
        <v>23.096150000000002</v>
      </c>
      <c r="G19" s="11">
        <v>23.096150000000002</v>
      </c>
      <c r="I19" s="66" t="s">
        <v>57</v>
      </c>
      <c r="J19" s="67">
        <v>-0.34468649699999998</v>
      </c>
      <c r="K19" s="67">
        <v>-1.8400179430000001</v>
      </c>
      <c r="L19" s="67">
        <v>-5.156805555</v>
      </c>
      <c r="M19" s="67">
        <v>-7.5646112460000001</v>
      </c>
      <c r="N19" s="67">
        <v>-10.180543416999999</v>
      </c>
      <c r="O19" s="67">
        <v>-9.4883230540000003</v>
      </c>
    </row>
    <row r="20" spans="1:15" x14ac:dyDescent="0.25">
      <c r="A20" t="s">
        <v>58</v>
      </c>
      <c r="B20" s="11">
        <v>0</v>
      </c>
      <c r="C20" s="11">
        <v>6.7031250000000001E-2</v>
      </c>
      <c r="D20" s="11">
        <v>0.66171875000000002</v>
      </c>
      <c r="E20" s="11">
        <v>1.3062499999999999</v>
      </c>
      <c r="F20" s="11">
        <v>1.4368749999999999</v>
      </c>
      <c r="G20" s="11">
        <v>1.4368749999999999</v>
      </c>
      <c r="I20" s="66" t="s">
        <v>59</v>
      </c>
      <c r="J20" s="67">
        <v>0</v>
      </c>
      <c r="K20" s="67">
        <v>-0.17842263500000002</v>
      </c>
      <c r="L20" s="67">
        <v>-1.1641992790000002</v>
      </c>
      <c r="M20" s="67">
        <v>-2.0757733950000001</v>
      </c>
      <c r="N20" s="67">
        <v>-4.0467344030000003</v>
      </c>
      <c r="O20" s="67">
        <v>-4.140492579</v>
      </c>
    </row>
    <row r="21" spans="1:15" x14ac:dyDescent="0.25">
      <c r="A21" t="s">
        <v>60</v>
      </c>
      <c r="B21" s="11">
        <v>0.14174999999999999</v>
      </c>
      <c r="C21" s="11">
        <v>0.57400000000000007</v>
      </c>
      <c r="D21" s="11">
        <v>1.6703749999999999</v>
      </c>
      <c r="E21" s="11">
        <v>2.7930000000000001</v>
      </c>
      <c r="F21" s="11">
        <v>3.4402850999999997</v>
      </c>
      <c r="G21" s="11">
        <v>3.3477603599999997</v>
      </c>
      <c r="I21" s="66" t="s">
        <v>61</v>
      </c>
      <c r="J21" s="67">
        <v>-0.59349467592592609</v>
      </c>
      <c r="K21" s="67">
        <v>-3.457241666666667</v>
      </c>
      <c r="L21" s="67">
        <v>-8.470592407407409</v>
      </c>
      <c r="M21" s="67">
        <v>-12.548044768518523</v>
      </c>
      <c r="N21" s="67">
        <v>-17.432887500000003</v>
      </c>
      <c r="O21" s="67">
        <v>-17.432887500000003</v>
      </c>
    </row>
    <row r="22" spans="1:15" x14ac:dyDescent="0.25">
      <c r="A22" t="s">
        <v>62</v>
      </c>
      <c r="B22" s="11">
        <v>1.4293125E-2</v>
      </c>
      <c r="C22" s="11">
        <v>0.15032878212916667</v>
      </c>
      <c r="D22" s="11">
        <v>0.30017471383900007</v>
      </c>
      <c r="E22" s="11">
        <v>0.50080475830000004</v>
      </c>
      <c r="F22" s="11">
        <v>0.72304279226666657</v>
      </c>
      <c r="G22" s="11">
        <v>0.72482973639999992</v>
      </c>
      <c r="I22" s="66"/>
      <c r="J22" s="67"/>
      <c r="K22" s="67"/>
      <c r="L22" s="67"/>
      <c r="M22" s="67"/>
      <c r="N22" s="67"/>
      <c r="O22" s="67"/>
    </row>
    <row r="23" spans="1:15" x14ac:dyDescent="0.25">
      <c r="I23" s="68" t="s">
        <v>63</v>
      </c>
      <c r="J23" s="68">
        <f t="shared" ref="J23:O23" si="2">SUM(B19:B22)+SUM(J19:J21)</f>
        <v>-0.78213804792592612</v>
      </c>
      <c r="K23" s="68">
        <f t="shared" si="2"/>
        <v>-4.6843222125375004</v>
      </c>
      <c r="L23" s="68">
        <f t="shared" si="2"/>
        <v>-11.751807423401743</v>
      </c>
      <c r="M23" s="68">
        <f t="shared" si="2"/>
        <v>-10.989474651218526</v>
      </c>
      <c r="N23" s="68">
        <f t="shared" si="2"/>
        <v>-2.963812427733334</v>
      </c>
      <c r="O23" s="68">
        <f t="shared" si="2"/>
        <v>-2.4560880366000006</v>
      </c>
    </row>
    <row r="24" spans="1:15" x14ac:dyDescent="0.25">
      <c r="A24" s="114" t="s">
        <v>66</v>
      </c>
      <c r="B24" s="113"/>
      <c r="C24" s="113"/>
      <c r="D24" s="113"/>
      <c r="E24" s="113"/>
      <c r="F24" s="113"/>
      <c r="G24" s="113"/>
      <c r="I24" s="116" t="s">
        <v>66</v>
      </c>
      <c r="J24" s="113"/>
      <c r="K24" s="113"/>
      <c r="L24" s="113"/>
      <c r="M24" s="113"/>
      <c r="N24" s="113"/>
      <c r="O24" s="113"/>
    </row>
    <row r="25" spans="1:15" x14ac:dyDescent="0.25">
      <c r="A25" t="s">
        <v>54</v>
      </c>
      <c r="B25">
        <v>2025</v>
      </c>
      <c r="C25">
        <v>2030</v>
      </c>
      <c r="D25">
        <v>2035</v>
      </c>
      <c r="E25">
        <v>2040</v>
      </c>
      <c r="F25">
        <v>2045</v>
      </c>
      <c r="G25">
        <v>2050</v>
      </c>
      <c r="I25" s="66" t="s">
        <v>55</v>
      </c>
      <c r="J25" s="66">
        <v>2025</v>
      </c>
      <c r="K25" s="66">
        <v>2030</v>
      </c>
      <c r="L25" s="66">
        <v>2035</v>
      </c>
      <c r="M25" s="66">
        <v>2040</v>
      </c>
      <c r="N25" s="66">
        <v>2045</v>
      </c>
      <c r="O25" s="66">
        <v>2050</v>
      </c>
    </row>
    <row r="26" spans="1:15" x14ac:dyDescent="0.25">
      <c r="A26" t="s">
        <v>56</v>
      </c>
      <c r="B26" s="11">
        <v>0</v>
      </c>
      <c r="C26" s="11">
        <v>0</v>
      </c>
      <c r="D26" s="11">
        <v>0.39279166666666671</v>
      </c>
      <c r="E26" s="11">
        <v>6.2846666666666673</v>
      </c>
      <c r="F26" s="11">
        <v>21.996333333333332</v>
      </c>
      <c r="G26" s="11">
        <v>21.996333333333332</v>
      </c>
      <c r="I26" s="66" t="s">
        <v>57</v>
      </c>
      <c r="J26" s="67">
        <v>-0.35238767700000007</v>
      </c>
      <c r="K26" s="67">
        <v>-1.9077915379999999</v>
      </c>
      <c r="L26" s="67">
        <v>-5.423502236</v>
      </c>
      <c r="M26" s="67">
        <v>-7.9847059470000001</v>
      </c>
      <c r="N26" s="67">
        <v>-10.745360273000001</v>
      </c>
      <c r="O26" s="67">
        <v>-10.05435084</v>
      </c>
    </row>
    <row r="27" spans="1:15" x14ac:dyDescent="0.25">
      <c r="A27" t="s">
        <v>58</v>
      </c>
      <c r="B27" s="11">
        <v>0</v>
      </c>
      <c r="C27" s="11">
        <v>6.7031250000000001E-2</v>
      </c>
      <c r="D27" s="11">
        <v>0.66171875000000002</v>
      </c>
      <c r="E27" s="11">
        <v>1.3062499999999999</v>
      </c>
      <c r="F27" s="11">
        <v>1.4368749999999999</v>
      </c>
      <c r="G27" s="11">
        <v>1.4368749999999999</v>
      </c>
      <c r="I27" s="66" t="s">
        <v>59</v>
      </c>
      <c r="J27" s="67">
        <v>0</v>
      </c>
      <c r="K27" s="67">
        <v>-0.18333602299999999</v>
      </c>
      <c r="L27" s="67">
        <v>-1.2105091299999999</v>
      </c>
      <c r="M27" s="67">
        <v>-2.1669618009999998</v>
      </c>
      <c r="N27" s="67">
        <v>-4.2322801370000001</v>
      </c>
      <c r="O27" s="67">
        <v>-4.3462850710000005</v>
      </c>
    </row>
    <row r="28" spans="1:15" x14ac:dyDescent="0.25">
      <c r="A28" t="s">
        <v>60</v>
      </c>
      <c r="B28" s="11">
        <v>0.14000000000000001</v>
      </c>
      <c r="C28" s="11">
        <v>0.56000000000000005</v>
      </c>
      <c r="D28" s="11">
        <v>1.61</v>
      </c>
      <c r="E28" s="11">
        <v>2.66</v>
      </c>
      <c r="F28" s="11">
        <v>3.276462</v>
      </c>
      <c r="G28" s="11">
        <v>3.1883431999999998</v>
      </c>
      <c r="I28" s="66" t="s">
        <v>61</v>
      </c>
      <c r="J28" s="67">
        <v>-0.59349467592592609</v>
      </c>
      <c r="K28" s="67">
        <v>-3.457241666666667</v>
      </c>
      <c r="L28" s="67">
        <v>-8.470592407407409</v>
      </c>
      <c r="M28" s="67">
        <v>-12.548044768518523</v>
      </c>
      <c r="N28" s="67">
        <v>-17.432887500000003</v>
      </c>
      <c r="O28" s="67">
        <v>-17.432887500000003</v>
      </c>
    </row>
    <row r="29" spans="1:15" x14ac:dyDescent="0.25">
      <c r="A29" t="s">
        <v>62</v>
      </c>
      <c r="B29" s="11">
        <v>4.2349999999999999E-2</v>
      </c>
      <c r="C29" s="11">
        <v>0.28233333333333333</v>
      </c>
      <c r="D29" s="11">
        <v>0.46585000000000004</v>
      </c>
      <c r="E29" s="11">
        <v>0.59289999999999998</v>
      </c>
      <c r="F29" s="11">
        <v>0.56466666666666665</v>
      </c>
      <c r="G29" s="11">
        <v>0.56466666666666665</v>
      </c>
      <c r="I29" s="66"/>
      <c r="J29" s="67"/>
      <c r="K29" s="67"/>
      <c r="L29" s="67"/>
      <c r="M29" s="67"/>
      <c r="N29" s="67"/>
      <c r="O29" s="67"/>
    </row>
    <row r="30" spans="1:15" x14ac:dyDescent="0.25">
      <c r="I30" s="68" t="s">
        <v>63</v>
      </c>
      <c r="J30" s="68">
        <f t="shared" ref="J30:O30" si="3">SUM(B26:B29)+SUM(J26:J28)</f>
        <v>-0.76353235292592614</v>
      </c>
      <c r="K30" s="68">
        <f t="shared" si="3"/>
        <v>-4.6390046443333333</v>
      </c>
      <c r="L30" s="68">
        <f t="shared" si="3"/>
        <v>-11.974243356740741</v>
      </c>
      <c r="M30" s="68">
        <f t="shared" si="3"/>
        <v>-11.855895849851857</v>
      </c>
      <c r="N30" s="68">
        <f t="shared" si="3"/>
        <v>-5.1361909100000069</v>
      </c>
      <c r="O30" s="68">
        <f t="shared" si="3"/>
        <v>-4.6473052110000026</v>
      </c>
    </row>
    <row r="31" spans="1:15" x14ac:dyDescent="0.25">
      <c r="A31" s="115" t="s">
        <v>67</v>
      </c>
      <c r="B31" s="113"/>
      <c r="C31" s="113"/>
      <c r="D31" s="113"/>
      <c r="E31" s="113"/>
      <c r="F31" s="113"/>
      <c r="G31" s="113"/>
      <c r="H31" s="62"/>
      <c r="I31" s="112" t="s">
        <v>67</v>
      </c>
      <c r="J31" s="113"/>
      <c r="K31" s="113"/>
      <c r="L31" s="113"/>
      <c r="M31" s="113"/>
      <c r="N31" s="113"/>
      <c r="O31" s="113"/>
    </row>
    <row r="32" spans="1:15" x14ac:dyDescent="0.25">
      <c r="A32" t="s">
        <v>54</v>
      </c>
      <c r="B32">
        <v>2025</v>
      </c>
      <c r="C32">
        <v>2030</v>
      </c>
      <c r="D32">
        <v>2035</v>
      </c>
      <c r="E32">
        <v>2040</v>
      </c>
      <c r="F32">
        <v>2045</v>
      </c>
      <c r="G32">
        <v>2050</v>
      </c>
      <c r="I32" s="66" t="s">
        <v>55</v>
      </c>
      <c r="J32" s="66">
        <v>2025</v>
      </c>
      <c r="K32" s="66">
        <v>2030</v>
      </c>
      <c r="L32" s="66">
        <v>2035</v>
      </c>
      <c r="M32" s="66">
        <v>2040</v>
      </c>
      <c r="N32" s="66">
        <v>2045</v>
      </c>
      <c r="O32" s="66">
        <v>2050</v>
      </c>
    </row>
    <row r="33" spans="1:15" x14ac:dyDescent="0.25">
      <c r="A33" t="s">
        <v>56</v>
      </c>
      <c r="B33" s="11">
        <v>0</v>
      </c>
      <c r="C33" s="11">
        <v>0</v>
      </c>
      <c r="D33" s="11">
        <v>1.5711666666666668</v>
      </c>
      <c r="E33" s="11">
        <v>7.855833333333333</v>
      </c>
      <c r="F33" s="11">
        <v>13.67697441</v>
      </c>
      <c r="G33" s="11">
        <v>13.338450839999998</v>
      </c>
      <c r="I33" s="66" t="s">
        <v>57</v>
      </c>
      <c r="J33" s="67">
        <v>-0.30460092300000002</v>
      </c>
      <c r="K33" s="67">
        <v>-1.8406005439999999</v>
      </c>
      <c r="L33" s="67">
        <v>-4.9292044239999999</v>
      </c>
      <c r="M33" s="67">
        <v>-7.0926949830000003</v>
      </c>
      <c r="N33" s="67">
        <v>-9.4902347020000004</v>
      </c>
      <c r="O33" s="67">
        <v>-8.9846507939999984</v>
      </c>
    </row>
    <row r="34" spans="1:15" x14ac:dyDescent="0.25">
      <c r="A34" t="s">
        <v>58</v>
      </c>
      <c r="B34" s="11">
        <v>0</v>
      </c>
      <c r="C34" s="11">
        <v>0</v>
      </c>
      <c r="D34" s="11">
        <v>6.8750000000000006E-2</v>
      </c>
      <c r="E34" s="11">
        <v>0.6875</v>
      </c>
      <c r="F34" s="11">
        <v>1.4089033750000002</v>
      </c>
      <c r="G34" s="11">
        <v>1.3740319999999999</v>
      </c>
      <c r="I34" s="66" t="s">
        <v>59</v>
      </c>
      <c r="J34" s="67">
        <v>0</v>
      </c>
      <c r="K34" s="67">
        <v>-0.21541668999999999</v>
      </c>
      <c r="L34" s="67">
        <v>-1.1740362579999999</v>
      </c>
      <c r="M34" s="67">
        <v>-1.9603178489999999</v>
      </c>
      <c r="N34" s="67">
        <v>-3.594883898</v>
      </c>
      <c r="O34" s="67">
        <v>-3.4972756230000002</v>
      </c>
    </row>
    <row r="35" spans="1:15" x14ac:dyDescent="0.25">
      <c r="A35" t="s">
        <v>60</v>
      </c>
      <c r="B35" s="11">
        <v>0</v>
      </c>
      <c r="C35" s="11">
        <v>7.0000000000000007E-2</v>
      </c>
      <c r="D35" s="11">
        <v>0.24499999999999997</v>
      </c>
      <c r="E35" s="11">
        <v>0.7</v>
      </c>
      <c r="F35" s="11">
        <v>3.8174415999999995</v>
      </c>
      <c r="G35" s="11">
        <v>3.7229541999999998</v>
      </c>
      <c r="I35" s="66" t="s">
        <v>61</v>
      </c>
      <c r="J35" s="67">
        <v>-0.59349467592592609</v>
      </c>
      <c r="K35" s="67">
        <v>-3.457241666666667</v>
      </c>
      <c r="L35" s="67">
        <v>-8.470592407407409</v>
      </c>
      <c r="M35" s="67">
        <v>-12.548044768518523</v>
      </c>
      <c r="N35" s="67">
        <v>-17.432887500000003</v>
      </c>
      <c r="O35" s="67">
        <v>-17.432887500000003</v>
      </c>
    </row>
    <row r="36" spans="1:15" x14ac:dyDescent="0.25">
      <c r="A36" t="s">
        <v>62</v>
      </c>
      <c r="B36" s="11">
        <v>0</v>
      </c>
      <c r="C36" s="11">
        <v>0.19198666666666664</v>
      </c>
      <c r="D36" s="11">
        <v>0.46585000000000004</v>
      </c>
      <c r="E36" s="11">
        <v>0.56466666666666665</v>
      </c>
      <c r="F36" s="11">
        <v>0.56466666666666665</v>
      </c>
      <c r="G36" s="11">
        <v>0.55069046083333328</v>
      </c>
      <c r="I36" s="66" t="s">
        <v>68</v>
      </c>
      <c r="J36" s="67">
        <v>0</v>
      </c>
      <c r="K36" s="67"/>
      <c r="L36" s="67"/>
      <c r="M36" s="67"/>
      <c r="N36" s="67"/>
      <c r="O36" s="67"/>
    </row>
    <row r="37" spans="1:15" x14ac:dyDescent="0.25">
      <c r="I37" s="63" t="s">
        <v>63</v>
      </c>
      <c r="J37" s="64">
        <f t="shared" ref="J37:O37" si="4">SUM(B33:B36)+SUM(J33:J35)</f>
        <v>-0.89809559892592605</v>
      </c>
      <c r="K37" s="64">
        <f t="shared" si="4"/>
        <v>-5.251272234</v>
      </c>
      <c r="L37" s="64">
        <f t="shared" si="4"/>
        <v>-12.223066422740741</v>
      </c>
      <c r="M37" s="64">
        <f t="shared" si="4"/>
        <v>-11.793057600518523</v>
      </c>
      <c r="N37" s="64">
        <f t="shared" si="4"/>
        <v>-11.050020048333337</v>
      </c>
      <c r="O37" s="64">
        <f t="shared" si="4"/>
        <v>-10.928686416166673</v>
      </c>
    </row>
  </sheetData>
  <mergeCells count="10">
    <mergeCell ref="I31:O31"/>
    <mergeCell ref="A17:G17"/>
    <mergeCell ref="A31:G31"/>
    <mergeCell ref="A3:G3"/>
    <mergeCell ref="I17:O17"/>
    <mergeCell ref="I3:O3"/>
    <mergeCell ref="A24:G24"/>
    <mergeCell ref="I24:O24"/>
    <mergeCell ref="I10:O10"/>
    <mergeCell ref="A10:G10"/>
  </mergeCells>
  <pageMargins left="0.7" right="0.7" top="0.78740157499999996" bottom="0.78740157499999996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2:A4"/>
  <sheetViews>
    <sheetView workbookViewId="0">
      <selection activeCell="H26" sqref="H26"/>
    </sheetView>
  </sheetViews>
  <sheetFormatPr baseColWidth="10" defaultRowHeight="15" x14ac:dyDescent="0.25"/>
  <cols>
    <col min="1" max="1" width="51.7109375" bestFit="1" customWidth="1"/>
  </cols>
  <sheetData>
    <row r="2" spans="1:1" x14ac:dyDescent="0.25">
      <c r="A2" t="s">
        <v>69</v>
      </c>
    </row>
    <row r="3" spans="1:1" x14ac:dyDescent="0.25">
      <c r="A3" t="s">
        <v>70</v>
      </c>
    </row>
    <row r="4" spans="1:1" x14ac:dyDescent="0.25">
      <c r="A4" t="s">
        <v>71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S387"/>
  <sheetViews>
    <sheetView topLeftCell="G4" workbookViewId="0">
      <selection activeCell="L1" sqref="L1"/>
    </sheetView>
  </sheetViews>
  <sheetFormatPr baseColWidth="10" defaultRowHeight="15" x14ac:dyDescent="0.25"/>
  <cols>
    <col min="1" max="1" width="27.42578125" bestFit="1" customWidth="1"/>
    <col min="2" max="2" width="8" bestFit="1" customWidth="1"/>
    <col min="3" max="3" width="17.7109375" bestFit="1" customWidth="1"/>
    <col min="4" max="4" width="8.28515625" bestFit="1" customWidth="1"/>
    <col min="5" max="5" width="7.140625" bestFit="1" customWidth="1"/>
    <col min="6" max="6" width="37.42578125" bestFit="1" customWidth="1"/>
    <col min="7" max="7" width="26.5703125" bestFit="1" customWidth="1"/>
    <col min="8" max="8" width="11.7109375" bestFit="1" customWidth="1"/>
    <col min="9" max="9" width="11.85546875" bestFit="1" customWidth="1"/>
    <col min="10" max="11" width="12" bestFit="1" customWidth="1"/>
    <col min="12" max="12" width="23.140625" bestFit="1" customWidth="1"/>
    <col min="13" max="19" width="12" bestFit="1" customWidth="1"/>
  </cols>
  <sheetData>
    <row r="1" spans="1:19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0</v>
      </c>
      <c r="K1" t="s">
        <v>1</v>
      </c>
      <c r="L1" t="s">
        <v>87</v>
      </c>
      <c r="M1">
        <v>2020</v>
      </c>
      <c r="N1">
        <v>2025</v>
      </c>
      <c r="O1">
        <v>2030</v>
      </c>
      <c r="P1">
        <v>2035</v>
      </c>
      <c r="Q1">
        <v>2040</v>
      </c>
      <c r="R1">
        <v>2045</v>
      </c>
      <c r="S1">
        <v>2050</v>
      </c>
    </row>
    <row r="2" spans="1:19" x14ac:dyDescent="0.25">
      <c r="A2" t="s">
        <v>5</v>
      </c>
      <c r="B2" t="s">
        <v>88</v>
      </c>
      <c r="C2" t="s">
        <v>89</v>
      </c>
      <c r="D2" t="s">
        <v>3</v>
      </c>
      <c r="E2" t="s">
        <v>90</v>
      </c>
      <c r="F2" t="s">
        <v>91</v>
      </c>
      <c r="G2" t="s">
        <v>6</v>
      </c>
      <c r="H2" t="s">
        <v>92</v>
      </c>
      <c r="J2">
        <v>48.653686829999998</v>
      </c>
      <c r="K2">
        <v>10.16246767</v>
      </c>
      <c r="L2" t="s">
        <v>4</v>
      </c>
      <c r="M2">
        <v>0.413052963</v>
      </c>
      <c r="N2">
        <v>0.36142134300000001</v>
      </c>
      <c r="O2">
        <v>0.39179288400000001</v>
      </c>
      <c r="P2">
        <v>0.35838418900000002</v>
      </c>
      <c r="Q2">
        <v>0.32801264699999999</v>
      </c>
      <c r="R2">
        <v>0.294603952</v>
      </c>
      <c r="S2">
        <v>0.294603952</v>
      </c>
    </row>
    <row r="3" spans="1:19" x14ac:dyDescent="0.25">
      <c r="A3" t="s">
        <v>5</v>
      </c>
      <c r="B3" t="s">
        <v>88</v>
      </c>
      <c r="C3" t="s">
        <v>89</v>
      </c>
      <c r="D3" t="s">
        <v>3</v>
      </c>
      <c r="E3" t="s">
        <v>93</v>
      </c>
      <c r="F3" t="s">
        <v>94</v>
      </c>
      <c r="G3" t="s">
        <v>6</v>
      </c>
      <c r="H3" t="s">
        <v>92</v>
      </c>
      <c r="J3">
        <v>49.357679390000001</v>
      </c>
      <c r="K3">
        <v>8.6858323980000005</v>
      </c>
      <c r="L3" t="s">
        <v>4</v>
      </c>
      <c r="M3">
        <v>0.383086916</v>
      </c>
      <c r="N3">
        <v>0.383086916</v>
      </c>
      <c r="O3">
        <v>0.33520105100000003</v>
      </c>
      <c r="P3">
        <v>0.36336920700000003</v>
      </c>
      <c r="Q3">
        <v>0.332384236</v>
      </c>
      <c r="R3">
        <v>0.30421608</v>
      </c>
      <c r="S3">
        <v>0.30421608</v>
      </c>
    </row>
    <row r="4" spans="1:19" x14ac:dyDescent="0.25">
      <c r="A4" t="s">
        <v>5</v>
      </c>
      <c r="B4" t="s">
        <v>88</v>
      </c>
      <c r="C4" t="s">
        <v>89</v>
      </c>
      <c r="D4" t="s">
        <v>3</v>
      </c>
      <c r="E4" t="s">
        <v>95</v>
      </c>
      <c r="F4" t="s">
        <v>96</v>
      </c>
      <c r="G4" t="s">
        <v>6</v>
      </c>
      <c r="H4" t="s">
        <v>92</v>
      </c>
      <c r="J4">
        <v>49.018412980000001</v>
      </c>
      <c r="K4">
        <v>8.6124897310000001</v>
      </c>
      <c r="L4" t="s">
        <v>4</v>
      </c>
      <c r="M4">
        <v>0.35976087899999998</v>
      </c>
      <c r="N4">
        <v>0.35976087899999998</v>
      </c>
      <c r="O4">
        <v>0.31479076900000003</v>
      </c>
      <c r="P4">
        <v>0.34124377500000003</v>
      </c>
      <c r="Q4">
        <v>0.31214546799999998</v>
      </c>
      <c r="R4">
        <v>0.28569246300000001</v>
      </c>
      <c r="S4">
        <v>0.28569246300000001</v>
      </c>
    </row>
    <row r="5" spans="1:19" x14ac:dyDescent="0.25">
      <c r="A5" t="s">
        <v>5</v>
      </c>
      <c r="B5" t="s">
        <v>88</v>
      </c>
      <c r="C5" t="s">
        <v>89</v>
      </c>
      <c r="D5" t="s">
        <v>3</v>
      </c>
      <c r="E5" t="s">
        <v>97</v>
      </c>
      <c r="F5" t="s">
        <v>98</v>
      </c>
      <c r="G5" t="s">
        <v>6</v>
      </c>
      <c r="H5" t="s">
        <v>92</v>
      </c>
      <c r="J5">
        <v>48.331986280000002</v>
      </c>
      <c r="K5">
        <v>9.7304687479999998</v>
      </c>
      <c r="L5" t="s">
        <v>4</v>
      </c>
      <c r="M5">
        <v>0.45278303800000003</v>
      </c>
      <c r="N5">
        <v>0.45278303800000003</v>
      </c>
      <c r="O5">
        <v>0.39618515799999998</v>
      </c>
      <c r="P5">
        <v>0.42947802899999998</v>
      </c>
      <c r="Q5">
        <v>0.39285587100000002</v>
      </c>
      <c r="R5">
        <v>0.35956300099999999</v>
      </c>
      <c r="S5">
        <v>0.35956300099999999</v>
      </c>
    </row>
    <row r="6" spans="1:19" x14ac:dyDescent="0.25">
      <c r="A6" t="s">
        <v>5</v>
      </c>
      <c r="B6" t="s">
        <v>88</v>
      </c>
      <c r="C6" t="s">
        <v>89</v>
      </c>
      <c r="D6" t="s">
        <v>3</v>
      </c>
      <c r="E6" t="s">
        <v>97</v>
      </c>
      <c r="F6" t="s">
        <v>98</v>
      </c>
      <c r="G6" t="s">
        <v>6</v>
      </c>
      <c r="H6" t="s">
        <v>92</v>
      </c>
      <c r="J6">
        <v>48.368603120000003</v>
      </c>
      <c r="K6">
        <v>9.7346784</v>
      </c>
      <c r="L6" t="s">
        <v>4</v>
      </c>
      <c r="M6">
        <v>0.60784703699999998</v>
      </c>
      <c r="N6">
        <v>0.60784703699999998</v>
      </c>
      <c r="O6">
        <v>0.53186615699999995</v>
      </c>
      <c r="P6">
        <v>0.57656079199999999</v>
      </c>
      <c r="Q6">
        <v>0.527396694</v>
      </c>
      <c r="R6">
        <v>0.48270205900000002</v>
      </c>
      <c r="S6">
        <v>0.48270205900000002</v>
      </c>
    </row>
    <row r="7" spans="1:19" x14ac:dyDescent="0.25">
      <c r="A7" t="s">
        <v>5</v>
      </c>
      <c r="B7" t="s">
        <v>88</v>
      </c>
      <c r="C7" t="s">
        <v>89</v>
      </c>
      <c r="D7" t="s">
        <v>3</v>
      </c>
      <c r="E7" t="s">
        <v>99</v>
      </c>
      <c r="F7" t="s">
        <v>100</v>
      </c>
      <c r="G7" t="s">
        <v>6</v>
      </c>
      <c r="H7" t="s">
        <v>92</v>
      </c>
      <c r="J7">
        <v>48.227041210000003</v>
      </c>
      <c r="K7">
        <v>8.7790961079999992</v>
      </c>
      <c r="L7" t="s">
        <v>4</v>
      </c>
      <c r="M7">
        <v>0.52629559800000003</v>
      </c>
      <c r="N7">
        <v>0.52629559800000003</v>
      </c>
      <c r="O7">
        <v>0.46050864800000002</v>
      </c>
      <c r="P7">
        <v>0.49920685399999998</v>
      </c>
      <c r="Q7">
        <v>0.45663882700000002</v>
      </c>
      <c r="R7">
        <v>0.41794062199999998</v>
      </c>
      <c r="S7">
        <v>0.41794062199999998</v>
      </c>
    </row>
    <row r="8" spans="1:19" x14ac:dyDescent="0.25">
      <c r="A8" t="s">
        <v>5</v>
      </c>
      <c r="B8" t="s">
        <v>88</v>
      </c>
      <c r="C8" t="s">
        <v>89</v>
      </c>
      <c r="D8" t="s">
        <v>3</v>
      </c>
      <c r="E8" t="s">
        <v>101</v>
      </c>
      <c r="F8" t="s">
        <v>102</v>
      </c>
      <c r="G8" t="s">
        <v>6</v>
      </c>
      <c r="H8" t="s">
        <v>92</v>
      </c>
      <c r="J8">
        <v>53.874164919999998</v>
      </c>
      <c r="K8">
        <v>9.5832685959999999</v>
      </c>
      <c r="L8" t="s">
        <v>4</v>
      </c>
      <c r="M8">
        <v>0.79108328400000005</v>
      </c>
      <c r="N8">
        <v>0.79108328400000005</v>
      </c>
      <c r="O8">
        <v>0.69219787300000002</v>
      </c>
      <c r="P8">
        <v>0.75036576200000005</v>
      </c>
      <c r="Q8">
        <v>0.68638108399999997</v>
      </c>
      <c r="R8">
        <v>0.62821319600000003</v>
      </c>
      <c r="S8">
        <v>0.62821319600000003</v>
      </c>
    </row>
    <row r="9" spans="1:19" x14ac:dyDescent="0.25">
      <c r="A9" t="s">
        <v>5</v>
      </c>
      <c r="B9" t="s">
        <v>88</v>
      </c>
      <c r="C9" t="s">
        <v>89</v>
      </c>
      <c r="D9" t="s">
        <v>3</v>
      </c>
      <c r="E9" t="s">
        <v>103</v>
      </c>
      <c r="F9" t="s">
        <v>104</v>
      </c>
      <c r="G9" t="s">
        <v>6</v>
      </c>
      <c r="H9" t="s">
        <v>92</v>
      </c>
      <c r="J9">
        <v>52.349831299999998</v>
      </c>
      <c r="K9">
        <v>9.8859338710000007</v>
      </c>
      <c r="L9" t="s">
        <v>4</v>
      </c>
      <c r="M9">
        <v>0.46625867999999998</v>
      </c>
      <c r="N9">
        <v>0.46625867999999998</v>
      </c>
      <c r="O9">
        <v>0.40797634500000002</v>
      </c>
      <c r="P9">
        <v>0.44226007099999998</v>
      </c>
      <c r="Q9">
        <v>0.40454797199999998</v>
      </c>
      <c r="R9">
        <v>0.37026424600000002</v>
      </c>
      <c r="S9">
        <v>0.37026424600000002</v>
      </c>
    </row>
    <row r="10" spans="1:19" x14ac:dyDescent="0.25">
      <c r="A10" t="s">
        <v>5</v>
      </c>
      <c r="B10" t="s">
        <v>88</v>
      </c>
      <c r="C10" t="s">
        <v>89</v>
      </c>
      <c r="D10" t="s">
        <v>3</v>
      </c>
      <c r="E10" t="s">
        <v>105</v>
      </c>
      <c r="F10" t="s">
        <v>106</v>
      </c>
      <c r="G10" t="s">
        <v>6</v>
      </c>
      <c r="H10" t="s">
        <v>92</v>
      </c>
      <c r="J10">
        <v>51.765173730000001</v>
      </c>
      <c r="K10">
        <v>8.0540287880000001</v>
      </c>
      <c r="L10" t="s">
        <v>4</v>
      </c>
      <c r="M10">
        <v>0.41116984299999998</v>
      </c>
      <c r="N10">
        <v>0.41116984299999998</v>
      </c>
      <c r="O10">
        <v>0.35977361299999999</v>
      </c>
      <c r="P10">
        <v>0.39000668900000002</v>
      </c>
      <c r="Q10">
        <v>0.35675030499999999</v>
      </c>
      <c r="R10">
        <v>0.32651722799999999</v>
      </c>
      <c r="S10">
        <v>0.32651722799999999</v>
      </c>
    </row>
    <row r="11" spans="1:19" x14ac:dyDescent="0.25">
      <c r="A11" t="s">
        <v>5</v>
      </c>
      <c r="B11" t="s">
        <v>88</v>
      </c>
      <c r="C11" t="s">
        <v>89</v>
      </c>
      <c r="D11" t="s">
        <v>3</v>
      </c>
      <c r="E11" t="s">
        <v>107</v>
      </c>
      <c r="F11" t="s">
        <v>108</v>
      </c>
      <c r="G11" t="s">
        <v>6</v>
      </c>
      <c r="H11" t="s">
        <v>92</v>
      </c>
      <c r="J11">
        <v>52.174985890000002</v>
      </c>
      <c r="K11">
        <v>7.8878276410000003</v>
      </c>
      <c r="L11" t="s">
        <v>4</v>
      </c>
      <c r="M11">
        <v>0.78009607700000005</v>
      </c>
      <c r="N11">
        <v>0.78009607700000005</v>
      </c>
      <c r="O11">
        <v>0.68258406800000004</v>
      </c>
      <c r="P11">
        <v>0.73994407299999998</v>
      </c>
      <c r="Q11">
        <v>0.676848067</v>
      </c>
      <c r="R11">
        <v>0.61948806099999998</v>
      </c>
      <c r="S11">
        <v>0.61948806099999998</v>
      </c>
    </row>
    <row r="12" spans="1:19" x14ac:dyDescent="0.25">
      <c r="A12" t="s">
        <v>5</v>
      </c>
      <c r="B12" t="s">
        <v>88</v>
      </c>
      <c r="C12" t="s">
        <v>89</v>
      </c>
      <c r="D12" t="s">
        <v>3</v>
      </c>
      <c r="E12" t="s">
        <v>109</v>
      </c>
      <c r="F12" t="s">
        <v>110</v>
      </c>
      <c r="G12" t="s">
        <v>6</v>
      </c>
      <c r="H12" t="s">
        <v>92</v>
      </c>
      <c r="J12">
        <v>51.698988470000003</v>
      </c>
      <c r="K12">
        <v>8.7470409070000006</v>
      </c>
      <c r="L12" t="s">
        <v>4</v>
      </c>
      <c r="M12">
        <v>0.16345647099999999</v>
      </c>
      <c r="N12">
        <v>0.16345647099999999</v>
      </c>
      <c r="O12">
        <v>0.14302441199999999</v>
      </c>
      <c r="P12">
        <v>0.15504327000000001</v>
      </c>
      <c r="Q12">
        <v>0.141822526</v>
      </c>
      <c r="R12">
        <v>0.12980366800000001</v>
      </c>
      <c r="S12">
        <v>0.12980366800000001</v>
      </c>
    </row>
    <row r="13" spans="1:19" x14ac:dyDescent="0.25">
      <c r="A13" t="s">
        <v>5</v>
      </c>
      <c r="B13" t="s">
        <v>88</v>
      </c>
      <c r="C13" t="s">
        <v>89</v>
      </c>
      <c r="D13" t="s">
        <v>3</v>
      </c>
      <c r="E13" t="s">
        <v>111</v>
      </c>
      <c r="F13" t="s">
        <v>112</v>
      </c>
      <c r="G13" t="s">
        <v>6</v>
      </c>
      <c r="H13" t="s">
        <v>92</v>
      </c>
      <c r="J13">
        <v>51.62256052</v>
      </c>
      <c r="K13">
        <v>8.5043928809999993</v>
      </c>
      <c r="L13" t="s">
        <v>4</v>
      </c>
      <c r="M13">
        <v>0.18801528300000001</v>
      </c>
      <c r="N13">
        <v>0.18801528300000001</v>
      </c>
      <c r="O13">
        <v>0.16451337299999999</v>
      </c>
      <c r="P13">
        <v>0.17833802600000001</v>
      </c>
      <c r="Q13">
        <v>0.16313090699999999</v>
      </c>
      <c r="R13">
        <v>0.149306254</v>
      </c>
      <c r="S13">
        <v>0.149306254</v>
      </c>
    </row>
    <row r="14" spans="1:19" x14ac:dyDescent="0.25">
      <c r="A14" t="s">
        <v>5</v>
      </c>
      <c r="B14" t="s">
        <v>88</v>
      </c>
      <c r="C14" t="s">
        <v>89</v>
      </c>
      <c r="D14" t="s">
        <v>3</v>
      </c>
      <c r="E14" t="s">
        <v>111</v>
      </c>
      <c r="F14" t="s">
        <v>112</v>
      </c>
      <c r="G14" t="s">
        <v>6</v>
      </c>
      <c r="H14" t="s">
        <v>92</v>
      </c>
      <c r="J14">
        <v>51.597210140000001</v>
      </c>
      <c r="K14">
        <v>8.3346819449999998</v>
      </c>
      <c r="L14" t="s">
        <v>4</v>
      </c>
      <c r="M14">
        <v>0.28201554299999998</v>
      </c>
      <c r="N14">
        <v>0.28201554299999998</v>
      </c>
      <c r="O14">
        <v>0.2467636</v>
      </c>
      <c r="P14">
        <v>0.26750003700000002</v>
      </c>
      <c r="Q14">
        <v>0.24468995599999999</v>
      </c>
      <c r="R14">
        <v>0.22395351899999999</v>
      </c>
      <c r="S14">
        <v>0.22395351899999999</v>
      </c>
    </row>
    <row r="15" spans="1:19" x14ac:dyDescent="0.25">
      <c r="A15" t="s">
        <v>5</v>
      </c>
      <c r="B15" t="s">
        <v>88</v>
      </c>
      <c r="C15" t="s">
        <v>89</v>
      </c>
      <c r="D15" t="s">
        <v>3</v>
      </c>
      <c r="E15" t="s">
        <v>111</v>
      </c>
      <c r="F15" t="s">
        <v>112</v>
      </c>
      <c r="G15" t="s">
        <v>6</v>
      </c>
      <c r="H15" t="s">
        <v>92</v>
      </c>
      <c r="J15">
        <v>51.594684739999998</v>
      </c>
      <c r="K15">
        <v>8.3349065200000005</v>
      </c>
      <c r="L15" t="s">
        <v>4</v>
      </c>
      <c r="M15">
        <v>0.41794125100000001</v>
      </c>
      <c r="N15">
        <v>0.41794125100000001</v>
      </c>
      <c r="O15">
        <v>0.36569859500000002</v>
      </c>
      <c r="P15">
        <v>0.39642956899999998</v>
      </c>
      <c r="Q15">
        <v>0.36262549799999999</v>
      </c>
      <c r="R15">
        <v>0.331894523</v>
      </c>
      <c r="S15">
        <v>0.331894523</v>
      </c>
    </row>
    <row r="16" spans="1:19" x14ac:dyDescent="0.25">
      <c r="A16" t="s">
        <v>5</v>
      </c>
      <c r="B16" t="s">
        <v>88</v>
      </c>
      <c r="C16" t="s">
        <v>89</v>
      </c>
      <c r="D16" t="s">
        <v>3</v>
      </c>
      <c r="E16" t="s">
        <v>111</v>
      </c>
      <c r="F16" t="s">
        <v>112</v>
      </c>
      <c r="G16" t="s">
        <v>6</v>
      </c>
      <c r="H16" t="s">
        <v>92</v>
      </c>
      <c r="J16">
        <v>51.601120729999998</v>
      </c>
      <c r="K16">
        <v>8.3361264300000002</v>
      </c>
      <c r="L16" t="s">
        <v>4</v>
      </c>
      <c r="M16">
        <v>0.52548137500000003</v>
      </c>
      <c r="N16">
        <v>0.52548137500000003</v>
      </c>
      <c r="O16">
        <v>0.45979620300000001</v>
      </c>
      <c r="P16">
        <v>0.49843453999999998</v>
      </c>
      <c r="Q16">
        <v>0.45593236999999998</v>
      </c>
      <c r="R16">
        <v>0.41729403300000001</v>
      </c>
      <c r="S16">
        <v>0.41729403300000001</v>
      </c>
    </row>
    <row r="17" spans="1:19" x14ac:dyDescent="0.25">
      <c r="A17" t="s">
        <v>5</v>
      </c>
      <c r="B17" t="s">
        <v>88</v>
      </c>
      <c r="C17" t="s">
        <v>89</v>
      </c>
      <c r="D17" t="s">
        <v>3</v>
      </c>
      <c r="E17" t="s">
        <v>113</v>
      </c>
      <c r="F17" t="s">
        <v>114</v>
      </c>
      <c r="G17" t="s">
        <v>6</v>
      </c>
      <c r="H17" t="s">
        <v>92</v>
      </c>
      <c r="J17">
        <v>50.031909560000003</v>
      </c>
      <c r="K17">
        <v>8.2570017539999991</v>
      </c>
      <c r="L17" t="s">
        <v>4</v>
      </c>
      <c r="M17">
        <v>0.12881325699999999</v>
      </c>
      <c r="N17">
        <v>0.12881325699999999</v>
      </c>
      <c r="O17">
        <v>0.1127116</v>
      </c>
      <c r="P17">
        <v>0.122183163</v>
      </c>
      <c r="Q17">
        <v>0.111764443</v>
      </c>
      <c r="R17">
        <v>0.10229288</v>
      </c>
      <c r="S17">
        <v>0.10229288</v>
      </c>
    </row>
    <row r="18" spans="1:19" x14ac:dyDescent="0.25">
      <c r="A18" t="s">
        <v>5</v>
      </c>
      <c r="B18" t="s">
        <v>88</v>
      </c>
      <c r="C18" t="s">
        <v>89</v>
      </c>
      <c r="D18" t="s">
        <v>3</v>
      </c>
      <c r="E18" t="s">
        <v>115</v>
      </c>
      <c r="F18" t="s">
        <v>116</v>
      </c>
      <c r="G18" t="s">
        <v>6</v>
      </c>
      <c r="H18" t="s">
        <v>92</v>
      </c>
      <c r="J18">
        <v>50.584524440000003</v>
      </c>
      <c r="K18">
        <v>9.5095189270000002</v>
      </c>
      <c r="L18" t="s">
        <v>4</v>
      </c>
      <c r="M18">
        <v>0.104529789</v>
      </c>
      <c r="N18">
        <v>0.104529789</v>
      </c>
      <c r="O18">
        <v>9.1463564999999997E-2</v>
      </c>
      <c r="P18">
        <v>9.9149579000000002E-2</v>
      </c>
      <c r="Q18">
        <v>9.0694964000000003E-2</v>
      </c>
      <c r="R18">
        <v>8.3008949999999998E-2</v>
      </c>
      <c r="S18">
        <v>8.3008949999999998E-2</v>
      </c>
    </row>
    <row r="19" spans="1:19" x14ac:dyDescent="0.25">
      <c r="A19" t="s">
        <v>5</v>
      </c>
      <c r="B19" t="s">
        <v>88</v>
      </c>
      <c r="C19" t="s">
        <v>89</v>
      </c>
      <c r="D19" t="s">
        <v>3</v>
      </c>
      <c r="E19" t="s">
        <v>117</v>
      </c>
      <c r="F19" t="s">
        <v>118</v>
      </c>
      <c r="G19" t="s">
        <v>6</v>
      </c>
      <c r="H19" t="s">
        <v>92</v>
      </c>
      <c r="J19">
        <v>50.333990059999998</v>
      </c>
      <c r="K19">
        <v>6.7668281370000001</v>
      </c>
      <c r="L19" t="s">
        <v>4</v>
      </c>
      <c r="M19">
        <v>0.13159180100000001</v>
      </c>
      <c r="N19">
        <v>0.13159180100000001</v>
      </c>
      <c r="O19">
        <v>0.115142825</v>
      </c>
      <c r="P19">
        <v>0.12481869299999999</v>
      </c>
      <c r="Q19">
        <v>0.114175239</v>
      </c>
      <c r="R19">
        <v>0.10449937099999999</v>
      </c>
      <c r="S19">
        <v>0.10449937099999999</v>
      </c>
    </row>
    <row r="20" spans="1:19" x14ac:dyDescent="0.25">
      <c r="A20" t="s">
        <v>5</v>
      </c>
      <c r="B20" t="s">
        <v>88</v>
      </c>
      <c r="C20" t="s">
        <v>89</v>
      </c>
      <c r="D20" t="s">
        <v>3</v>
      </c>
      <c r="E20" t="s">
        <v>119</v>
      </c>
      <c r="F20" t="s">
        <v>120</v>
      </c>
      <c r="G20" t="s">
        <v>6</v>
      </c>
      <c r="H20" t="s">
        <v>92</v>
      </c>
      <c r="J20">
        <v>49.601018850000003</v>
      </c>
      <c r="K20">
        <v>8.0413779420000004</v>
      </c>
      <c r="L20" t="s">
        <v>4</v>
      </c>
      <c r="M20">
        <v>0.52443019400000002</v>
      </c>
      <c r="N20">
        <v>0.52443019400000002</v>
      </c>
      <c r="O20">
        <v>0.45887642000000001</v>
      </c>
      <c r="P20">
        <v>0.49743746300000002</v>
      </c>
      <c r="Q20">
        <v>0.45502031500000001</v>
      </c>
      <c r="R20">
        <v>0.41645927199999999</v>
      </c>
      <c r="S20">
        <v>0.41645927199999999</v>
      </c>
    </row>
    <row r="21" spans="1:19" x14ac:dyDescent="0.25">
      <c r="A21" t="s">
        <v>5</v>
      </c>
      <c r="B21" t="s">
        <v>88</v>
      </c>
      <c r="C21" t="s">
        <v>89</v>
      </c>
      <c r="D21" t="s">
        <v>3</v>
      </c>
      <c r="E21" t="s">
        <v>121</v>
      </c>
      <c r="F21" t="s">
        <v>122</v>
      </c>
      <c r="G21" t="s">
        <v>6</v>
      </c>
      <c r="H21" t="s">
        <v>92</v>
      </c>
      <c r="J21">
        <v>47.790819620000001</v>
      </c>
      <c r="K21">
        <v>12.18159007</v>
      </c>
      <c r="L21" t="s">
        <v>4</v>
      </c>
      <c r="M21">
        <v>0.56116026799999996</v>
      </c>
      <c r="N21">
        <v>0.56116026799999996</v>
      </c>
      <c r="O21">
        <v>0.49101523499999999</v>
      </c>
      <c r="P21">
        <v>0.53227701900000002</v>
      </c>
      <c r="Q21">
        <v>0.48688905599999999</v>
      </c>
      <c r="R21">
        <v>0.44562727200000002</v>
      </c>
      <c r="S21">
        <v>0.44562727200000002</v>
      </c>
    </row>
    <row r="22" spans="1:19" x14ac:dyDescent="0.25">
      <c r="A22" t="s">
        <v>5</v>
      </c>
      <c r="B22" t="s">
        <v>88</v>
      </c>
      <c r="C22" t="s">
        <v>89</v>
      </c>
      <c r="D22" t="s">
        <v>3</v>
      </c>
      <c r="E22" t="s">
        <v>123</v>
      </c>
      <c r="F22" t="s">
        <v>124</v>
      </c>
      <c r="G22" t="s">
        <v>6</v>
      </c>
      <c r="H22" t="s">
        <v>92</v>
      </c>
      <c r="J22">
        <v>49.21283244</v>
      </c>
      <c r="K22">
        <v>12.028256949999999</v>
      </c>
      <c r="L22" t="s">
        <v>4</v>
      </c>
      <c r="M22">
        <v>0.65150501599999999</v>
      </c>
      <c r="N22">
        <v>0.65150501599999999</v>
      </c>
      <c r="O22">
        <v>0.57006688900000002</v>
      </c>
      <c r="P22">
        <v>0.617971669</v>
      </c>
      <c r="Q22">
        <v>0.56527641100000003</v>
      </c>
      <c r="R22">
        <v>0.51737162999999997</v>
      </c>
      <c r="S22">
        <v>0.51737162999999997</v>
      </c>
    </row>
    <row r="23" spans="1:19" x14ac:dyDescent="0.25">
      <c r="A23" t="s">
        <v>5</v>
      </c>
      <c r="B23" t="s">
        <v>88</v>
      </c>
      <c r="C23" t="s">
        <v>89</v>
      </c>
      <c r="D23" t="s">
        <v>3</v>
      </c>
      <c r="E23" t="s">
        <v>125</v>
      </c>
      <c r="F23" t="s">
        <v>126</v>
      </c>
      <c r="G23" t="s">
        <v>6</v>
      </c>
      <c r="H23" t="s">
        <v>92</v>
      </c>
      <c r="J23">
        <v>48.884912460000002</v>
      </c>
      <c r="K23">
        <v>10.99769729</v>
      </c>
      <c r="L23" t="s">
        <v>4</v>
      </c>
      <c r="M23">
        <v>0.225386106</v>
      </c>
      <c r="N23">
        <v>0.225386106</v>
      </c>
      <c r="O23">
        <v>0.197212842</v>
      </c>
      <c r="P23">
        <v>0.21378535000000001</v>
      </c>
      <c r="Q23">
        <v>0.195555592</v>
      </c>
      <c r="R23">
        <v>0.17898308399999999</v>
      </c>
      <c r="S23">
        <v>0.17898308399999999</v>
      </c>
    </row>
    <row r="24" spans="1:19" x14ac:dyDescent="0.25">
      <c r="A24" t="s">
        <v>5</v>
      </c>
      <c r="B24" t="s">
        <v>88</v>
      </c>
      <c r="C24" t="s">
        <v>89</v>
      </c>
      <c r="D24" t="s">
        <v>3</v>
      </c>
      <c r="E24" t="s">
        <v>127</v>
      </c>
      <c r="F24" t="s">
        <v>128</v>
      </c>
      <c r="G24" t="s">
        <v>6</v>
      </c>
      <c r="H24" t="s">
        <v>92</v>
      </c>
      <c r="J24">
        <v>49.808461000000001</v>
      </c>
      <c r="K24">
        <v>9.6178912790000002</v>
      </c>
      <c r="L24" t="s">
        <v>4</v>
      </c>
      <c r="M24">
        <v>0.470449379</v>
      </c>
      <c r="N24">
        <v>0.470449379</v>
      </c>
      <c r="O24">
        <v>0.41164320700000001</v>
      </c>
      <c r="P24">
        <v>0.44623507299999998</v>
      </c>
      <c r="Q24">
        <v>0.40818401999999998</v>
      </c>
      <c r="R24">
        <v>0.37359215400000001</v>
      </c>
      <c r="S24">
        <v>0.37359215400000001</v>
      </c>
    </row>
    <row r="25" spans="1:19" x14ac:dyDescent="0.25">
      <c r="A25" t="s">
        <v>5</v>
      </c>
      <c r="B25" t="s">
        <v>88</v>
      </c>
      <c r="C25" t="s">
        <v>89</v>
      </c>
      <c r="D25" t="s">
        <v>3</v>
      </c>
      <c r="E25" t="s">
        <v>127</v>
      </c>
      <c r="F25" t="s">
        <v>128</v>
      </c>
      <c r="G25" t="s">
        <v>6</v>
      </c>
      <c r="H25" t="s">
        <v>92</v>
      </c>
      <c r="J25">
        <v>49.955004879999997</v>
      </c>
      <c r="K25">
        <v>9.7685104519999992</v>
      </c>
      <c r="L25" t="s">
        <v>4</v>
      </c>
      <c r="M25">
        <v>0.42839917599999999</v>
      </c>
      <c r="N25">
        <v>0.42839917599999999</v>
      </c>
      <c r="O25">
        <v>0.37484927899999998</v>
      </c>
      <c r="P25">
        <v>0.40634921899999998</v>
      </c>
      <c r="Q25">
        <v>0.37169928499999999</v>
      </c>
      <c r="R25">
        <v>0.34019934600000001</v>
      </c>
      <c r="S25">
        <v>0.34019934600000001</v>
      </c>
    </row>
    <row r="26" spans="1:19" x14ac:dyDescent="0.25">
      <c r="A26" t="s">
        <v>5</v>
      </c>
      <c r="B26" t="s">
        <v>88</v>
      </c>
      <c r="C26" t="s">
        <v>89</v>
      </c>
      <c r="D26" t="s">
        <v>3</v>
      </c>
      <c r="E26" t="s">
        <v>129</v>
      </c>
      <c r="F26" t="s">
        <v>130</v>
      </c>
      <c r="G26" t="s">
        <v>6</v>
      </c>
      <c r="H26" t="s">
        <v>92</v>
      </c>
      <c r="J26">
        <v>48.776732469999999</v>
      </c>
      <c r="K26">
        <v>10.70031679</v>
      </c>
      <c r="L26" t="s">
        <v>4</v>
      </c>
      <c r="M26">
        <v>0.44225867600000002</v>
      </c>
      <c r="N26">
        <v>0.44225867600000002</v>
      </c>
      <c r="O26">
        <v>0.38697634199999997</v>
      </c>
      <c r="P26">
        <v>0.41949536199999998</v>
      </c>
      <c r="Q26">
        <v>0.38372444</v>
      </c>
      <c r="R26">
        <v>0.35120541900000002</v>
      </c>
      <c r="S26">
        <v>0.35120541900000002</v>
      </c>
    </row>
    <row r="27" spans="1:19" x14ac:dyDescent="0.25">
      <c r="A27" t="s">
        <v>5</v>
      </c>
      <c r="B27" t="s">
        <v>88</v>
      </c>
      <c r="C27" t="s">
        <v>89</v>
      </c>
      <c r="D27" t="s">
        <v>3</v>
      </c>
      <c r="E27" t="s">
        <v>131</v>
      </c>
      <c r="F27" t="s">
        <v>132</v>
      </c>
      <c r="G27" t="s">
        <v>6</v>
      </c>
      <c r="H27" t="s">
        <v>92</v>
      </c>
      <c r="J27">
        <v>52.489069260000001</v>
      </c>
      <c r="K27">
        <v>13.836929169999999</v>
      </c>
      <c r="L27" t="s">
        <v>4</v>
      </c>
      <c r="M27">
        <v>0.96694575999999999</v>
      </c>
      <c r="N27">
        <v>0.96694575999999999</v>
      </c>
      <c r="O27">
        <v>0.84607754000000002</v>
      </c>
      <c r="P27">
        <v>0.91717649300000004</v>
      </c>
      <c r="Q27">
        <v>0.83896764499999998</v>
      </c>
      <c r="R27">
        <v>0.76786869199999996</v>
      </c>
      <c r="S27">
        <v>0.76786869199999996</v>
      </c>
    </row>
    <row r="28" spans="1:19" x14ac:dyDescent="0.25">
      <c r="A28" t="s">
        <v>5</v>
      </c>
      <c r="B28" t="s">
        <v>88</v>
      </c>
      <c r="C28" t="s">
        <v>89</v>
      </c>
      <c r="D28" t="s">
        <v>3</v>
      </c>
      <c r="E28" t="s">
        <v>133</v>
      </c>
      <c r="F28" t="s">
        <v>134</v>
      </c>
      <c r="G28" t="s">
        <v>6</v>
      </c>
      <c r="H28" t="s">
        <v>92</v>
      </c>
      <c r="J28">
        <v>51.816375209999997</v>
      </c>
      <c r="K28">
        <v>11.7496466</v>
      </c>
      <c r="L28" t="s">
        <v>4</v>
      </c>
      <c r="M28">
        <v>0.50412187399999997</v>
      </c>
      <c r="N28">
        <v>0.50412187399999997</v>
      </c>
      <c r="O28">
        <v>0.44110663999999999</v>
      </c>
      <c r="P28">
        <v>0.47817442500000001</v>
      </c>
      <c r="Q28">
        <v>0.437399861</v>
      </c>
      <c r="R28">
        <v>0.40033207599999998</v>
      </c>
      <c r="S28">
        <v>0.40033207599999998</v>
      </c>
    </row>
    <row r="29" spans="1:19" x14ac:dyDescent="0.25">
      <c r="A29" t="s">
        <v>5</v>
      </c>
      <c r="B29" t="s">
        <v>88</v>
      </c>
      <c r="C29" t="s">
        <v>89</v>
      </c>
      <c r="D29" t="s">
        <v>3</v>
      </c>
      <c r="E29" t="s">
        <v>135</v>
      </c>
      <c r="F29" t="s">
        <v>136</v>
      </c>
      <c r="G29" t="s">
        <v>6</v>
      </c>
      <c r="H29" t="s">
        <v>92</v>
      </c>
      <c r="J29">
        <v>51.271111779999998</v>
      </c>
      <c r="K29">
        <v>11.654702629999999</v>
      </c>
      <c r="L29" t="s">
        <v>4</v>
      </c>
      <c r="M29">
        <v>0.69072057200000003</v>
      </c>
      <c r="N29">
        <v>0.69072057200000003</v>
      </c>
      <c r="O29">
        <v>0.60438050099999996</v>
      </c>
      <c r="P29">
        <v>0.65516877799999995</v>
      </c>
      <c r="Q29">
        <v>0.59930167300000003</v>
      </c>
      <c r="R29">
        <v>0.54851339600000004</v>
      </c>
      <c r="S29">
        <v>0.54851339600000004</v>
      </c>
    </row>
    <row r="30" spans="1:19" x14ac:dyDescent="0.25">
      <c r="A30" t="s">
        <v>5</v>
      </c>
      <c r="B30" t="s">
        <v>88</v>
      </c>
      <c r="C30" t="s">
        <v>89</v>
      </c>
      <c r="D30" t="s">
        <v>3</v>
      </c>
      <c r="E30" t="s">
        <v>137</v>
      </c>
      <c r="F30" t="s">
        <v>138</v>
      </c>
      <c r="G30" t="s">
        <v>6</v>
      </c>
      <c r="H30" t="s">
        <v>92</v>
      </c>
      <c r="J30">
        <v>51.362759730000001</v>
      </c>
      <c r="K30">
        <v>10.483568269999999</v>
      </c>
      <c r="L30" t="s">
        <v>4</v>
      </c>
      <c r="M30">
        <v>0.78788028099999996</v>
      </c>
      <c r="N30">
        <v>0.78788028099999996</v>
      </c>
      <c r="O30">
        <v>0.68939524600000002</v>
      </c>
      <c r="P30">
        <v>0.74732761999999997</v>
      </c>
      <c r="Q30">
        <v>0.68360200900000001</v>
      </c>
      <c r="R30">
        <v>0.62566963499999995</v>
      </c>
      <c r="S30">
        <v>0.62566963499999995</v>
      </c>
    </row>
    <row r="31" spans="1:19" x14ac:dyDescent="0.25">
      <c r="A31" t="s">
        <v>5</v>
      </c>
      <c r="B31" t="s">
        <v>88</v>
      </c>
      <c r="C31" t="s">
        <v>89</v>
      </c>
      <c r="D31" t="s">
        <v>3</v>
      </c>
      <c r="E31" t="s">
        <v>105</v>
      </c>
      <c r="F31" t="s">
        <v>106</v>
      </c>
      <c r="G31" t="s">
        <v>6</v>
      </c>
      <c r="H31" t="s">
        <v>92</v>
      </c>
      <c r="J31">
        <v>51.760245959999999</v>
      </c>
      <c r="K31">
        <v>8.0731712420000008</v>
      </c>
      <c r="L31" t="s">
        <v>4</v>
      </c>
      <c r="M31">
        <v>0.213463614</v>
      </c>
      <c r="N31">
        <v>0.213463614</v>
      </c>
      <c r="O31">
        <v>0.18678066199999999</v>
      </c>
      <c r="P31">
        <v>0.202476516</v>
      </c>
      <c r="Q31">
        <v>0.185211076</v>
      </c>
      <c r="R31">
        <v>0.16951522299999999</v>
      </c>
      <c r="S31">
        <v>0.16951522299999999</v>
      </c>
    </row>
    <row r="32" spans="1:19" x14ac:dyDescent="0.25">
      <c r="A32" t="s">
        <v>5</v>
      </c>
      <c r="B32" t="s">
        <v>88</v>
      </c>
      <c r="C32" t="s">
        <v>89</v>
      </c>
      <c r="D32" t="s">
        <v>3</v>
      </c>
      <c r="E32" t="s">
        <v>115</v>
      </c>
      <c r="F32" t="s">
        <v>116</v>
      </c>
      <c r="G32" t="s">
        <v>139</v>
      </c>
      <c r="H32" t="s">
        <v>92</v>
      </c>
      <c r="J32">
        <v>50.584319999999998</v>
      </c>
      <c r="K32">
        <v>9.5092449999999999</v>
      </c>
      <c r="L32" t="s">
        <v>4</v>
      </c>
      <c r="M32">
        <v>3.3370271E-2</v>
      </c>
      <c r="N32">
        <v>2.5954655E-2</v>
      </c>
      <c r="O32">
        <v>3.1145585999999999E-2</v>
      </c>
      <c r="P32">
        <v>2.5954655E-2</v>
      </c>
      <c r="Q32">
        <v>2.3729970999999999E-2</v>
      </c>
      <c r="R32">
        <v>2.2246847E-2</v>
      </c>
      <c r="S32">
        <v>2.2246847E-2</v>
      </c>
    </row>
    <row r="33" spans="1:19" x14ac:dyDescent="0.25">
      <c r="A33" t="s">
        <v>5</v>
      </c>
      <c r="B33" t="s">
        <v>88</v>
      </c>
      <c r="C33" t="s">
        <v>89</v>
      </c>
      <c r="D33" t="s">
        <v>3</v>
      </c>
      <c r="E33" t="s">
        <v>140</v>
      </c>
      <c r="F33" t="s">
        <v>141</v>
      </c>
      <c r="G33" t="s">
        <v>139</v>
      </c>
      <c r="H33" t="s">
        <v>92</v>
      </c>
      <c r="J33">
        <v>50.808852000000002</v>
      </c>
      <c r="K33">
        <v>12.09295</v>
      </c>
      <c r="L33" t="s">
        <v>4</v>
      </c>
      <c r="M33">
        <v>5.3444485999999999E-2</v>
      </c>
      <c r="N33">
        <v>4.1567934000000001E-2</v>
      </c>
      <c r="O33">
        <v>4.9881519999999999E-2</v>
      </c>
      <c r="P33">
        <v>4.1567934000000001E-2</v>
      </c>
      <c r="Q33">
        <v>3.8004968E-2</v>
      </c>
      <c r="R33">
        <v>3.5629657000000002E-2</v>
      </c>
      <c r="S33">
        <v>3.5629657000000002E-2</v>
      </c>
    </row>
    <row r="34" spans="1:19" x14ac:dyDescent="0.25">
      <c r="A34" t="s">
        <v>5</v>
      </c>
      <c r="B34" t="s">
        <v>88</v>
      </c>
      <c r="C34" t="s">
        <v>89</v>
      </c>
      <c r="D34" t="s">
        <v>3</v>
      </c>
      <c r="E34" t="s">
        <v>142</v>
      </c>
      <c r="F34" t="s">
        <v>143</v>
      </c>
      <c r="G34" t="s">
        <v>139</v>
      </c>
      <c r="H34" t="s">
        <v>92</v>
      </c>
      <c r="J34">
        <v>51.647706999999997</v>
      </c>
      <c r="K34">
        <v>10.087452000000001</v>
      </c>
      <c r="L34" t="s">
        <v>4</v>
      </c>
      <c r="M34">
        <v>2.4607026000000001E-2</v>
      </c>
      <c r="N34">
        <v>1.9138797999999999E-2</v>
      </c>
      <c r="O34">
        <v>2.2966558000000001E-2</v>
      </c>
      <c r="P34">
        <v>1.9138797999999999E-2</v>
      </c>
      <c r="Q34">
        <v>1.7498329999999999E-2</v>
      </c>
      <c r="R34">
        <v>1.6404683999999999E-2</v>
      </c>
      <c r="S34">
        <v>1.6404683999999999E-2</v>
      </c>
    </row>
    <row r="35" spans="1:19" x14ac:dyDescent="0.25">
      <c r="A35" t="s">
        <v>5</v>
      </c>
      <c r="B35" t="s">
        <v>88</v>
      </c>
      <c r="C35" t="s">
        <v>89</v>
      </c>
      <c r="D35" t="s">
        <v>3</v>
      </c>
      <c r="E35" t="s">
        <v>131</v>
      </c>
      <c r="F35" t="s">
        <v>132</v>
      </c>
      <c r="G35" t="s">
        <v>139</v>
      </c>
      <c r="H35" t="s">
        <v>92</v>
      </c>
      <c r="J35">
        <v>52.490088</v>
      </c>
      <c r="K35">
        <v>13.838051</v>
      </c>
      <c r="L35" t="s">
        <v>4</v>
      </c>
      <c r="M35">
        <v>9.4549258999999997E-2</v>
      </c>
      <c r="N35">
        <v>7.3538312999999994E-2</v>
      </c>
      <c r="O35">
        <v>8.8245976000000004E-2</v>
      </c>
      <c r="P35">
        <v>7.3538312999999994E-2</v>
      </c>
      <c r="Q35">
        <v>6.7235029000000002E-2</v>
      </c>
      <c r="R35">
        <v>6.3032840000000007E-2</v>
      </c>
      <c r="S35">
        <v>6.3032840000000007E-2</v>
      </c>
    </row>
    <row r="36" spans="1:19" x14ac:dyDescent="0.25">
      <c r="A36" t="s">
        <v>5</v>
      </c>
      <c r="B36" t="s">
        <v>88</v>
      </c>
      <c r="C36" t="s">
        <v>89</v>
      </c>
      <c r="D36" t="s">
        <v>3</v>
      </c>
      <c r="E36" t="s">
        <v>144</v>
      </c>
      <c r="F36" t="s">
        <v>145</v>
      </c>
      <c r="G36" t="s">
        <v>139</v>
      </c>
      <c r="H36" t="s">
        <v>92</v>
      </c>
      <c r="J36">
        <v>51.844586</v>
      </c>
      <c r="K36">
        <v>10.18979</v>
      </c>
      <c r="L36" t="s">
        <v>4</v>
      </c>
      <c r="M36">
        <v>0.153462079</v>
      </c>
      <c r="N36">
        <v>0.11935939499999999</v>
      </c>
      <c r="O36">
        <v>0.14323127399999999</v>
      </c>
      <c r="P36">
        <v>0.11935939499999999</v>
      </c>
      <c r="Q36">
        <v>0.109128589</v>
      </c>
      <c r="R36">
        <v>0.102308053</v>
      </c>
      <c r="S36">
        <v>0.102308053</v>
      </c>
    </row>
    <row r="37" spans="1:19" x14ac:dyDescent="0.25">
      <c r="A37" t="s">
        <v>5</v>
      </c>
      <c r="B37" t="s">
        <v>88</v>
      </c>
      <c r="C37" t="s">
        <v>89</v>
      </c>
      <c r="D37" t="s">
        <v>3</v>
      </c>
      <c r="E37" t="s">
        <v>146</v>
      </c>
      <c r="F37" t="s">
        <v>147</v>
      </c>
      <c r="G37" t="s">
        <v>139</v>
      </c>
      <c r="H37" t="s">
        <v>92</v>
      </c>
      <c r="J37">
        <v>48.890949999999997</v>
      </c>
      <c r="K37">
        <v>11.932119999999999</v>
      </c>
      <c r="L37" t="s">
        <v>4</v>
      </c>
      <c r="M37">
        <v>0.14012201499999999</v>
      </c>
      <c r="N37">
        <v>0.108983789</v>
      </c>
      <c r="O37">
        <v>0.130780547</v>
      </c>
      <c r="P37">
        <v>0.108983789</v>
      </c>
      <c r="Q37">
        <v>9.9642322000000005E-2</v>
      </c>
      <c r="R37">
        <v>9.3414677000000002E-2</v>
      </c>
      <c r="S37">
        <v>9.3414677000000002E-2</v>
      </c>
    </row>
    <row r="38" spans="1:19" x14ac:dyDescent="0.25">
      <c r="A38" t="s">
        <v>5</v>
      </c>
      <c r="B38" t="s">
        <v>88</v>
      </c>
      <c r="C38" t="s">
        <v>89</v>
      </c>
      <c r="D38" t="s">
        <v>3</v>
      </c>
      <c r="E38" t="s">
        <v>148</v>
      </c>
      <c r="F38" t="s">
        <v>149</v>
      </c>
      <c r="G38" t="s">
        <v>139</v>
      </c>
      <c r="H38" t="s">
        <v>92</v>
      </c>
      <c r="J38">
        <v>51.247683000000002</v>
      </c>
      <c r="K38">
        <v>7.0445830000000003</v>
      </c>
      <c r="L38" t="s">
        <v>4</v>
      </c>
      <c r="M38">
        <v>0.11501481299999999</v>
      </c>
      <c r="N38">
        <v>8.9455965999999998E-2</v>
      </c>
      <c r="O38">
        <v>0.107347159</v>
      </c>
      <c r="P38">
        <v>8.9455965999999998E-2</v>
      </c>
      <c r="Q38">
        <v>8.1788312000000002E-2</v>
      </c>
      <c r="R38">
        <v>7.6676542E-2</v>
      </c>
      <c r="S38">
        <v>7.6676542E-2</v>
      </c>
    </row>
    <row r="39" spans="1:19" x14ac:dyDescent="0.25">
      <c r="A39" t="s">
        <v>5</v>
      </c>
      <c r="B39" t="s">
        <v>88</v>
      </c>
      <c r="C39" t="s">
        <v>89</v>
      </c>
      <c r="D39" t="s">
        <v>3</v>
      </c>
      <c r="E39" t="s">
        <v>150</v>
      </c>
      <c r="F39" t="s">
        <v>151</v>
      </c>
      <c r="G39" t="s">
        <v>139</v>
      </c>
      <c r="H39" t="s">
        <v>92</v>
      </c>
      <c r="J39">
        <v>51.755471</v>
      </c>
      <c r="K39">
        <v>10.825817000000001</v>
      </c>
      <c r="L39" t="s">
        <v>4</v>
      </c>
      <c r="M39">
        <v>0.388301813</v>
      </c>
      <c r="N39">
        <v>0.30201252200000001</v>
      </c>
      <c r="O39">
        <v>0.36241502599999997</v>
      </c>
      <c r="P39">
        <v>0.30201252200000001</v>
      </c>
      <c r="Q39">
        <v>0.27612573400000001</v>
      </c>
      <c r="R39">
        <v>0.258867876</v>
      </c>
      <c r="S39">
        <v>0.258867876</v>
      </c>
    </row>
    <row r="40" spans="1:19" x14ac:dyDescent="0.25">
      <c r="A40" t="s">
        <v>5</v>
      </c>
      <c r="B40" t="s">
        <v>88</v>
      </c>
      <c r="C40" t="s">
        <v>89</v>
      </c>
      <c r="D40" t="s">
        <v>3</v>
      </c>
      <c r="E40" t="s">
        <v>152</v>
      </c>
      <c r="F40" t="s">
        <v>153</v>
      </c>
      <c r="G40" t="s">
        <v>139</v>
      </c>
      <c r="H40" t="s">
        <v>92</v>
      </c>
      <c r="J40">
        <v>47.658802999999999</v>
      </c>
      <c r="K40">
        <v>7.5460190000000003</v>
      </c>
      <c r="L40" t="s">
        <v>4</v>
      </c>
      <c r="M40">
        <v>8.5133941000000005E-2</v>
      </c>
      <c r="N40">
        <v>6.6215286999999998E-2</v>
      </c>
      <c r="O40">
        <v>7.9458345E-2</v>
      </c>
      <c r="P40">
        <v>6.6215286999999998E-2</v>
      </c>
      <c r="Q40">
        <v>6.0539691E-2</v>
      </c>
      <c r="R40">
        <v>5.6755960000000001E-2</v>
      </c>
      <c r="S40">
        <v>5.6755960000000001E-2</v>
      </c>
    </row>
    <row r="41" spans="1:19" x14ac:dyDescent="0.25">
      <c r="A41" t="s">
        <v>5</v>
      </c>
      <c r="B41" t="s">
        <v>88</v>
      </c>
      <c r="C41" t="s">
        <v>89</v>
      </c>
      <c r="D41" t="s">
        <v>3</v>
      </c>
      <c r="E41" t="s">
        <v>146</v>
      </c>
      <c r="F41" t="s">
        <v>147</v>
      </c>
      <c r="G41" t="s">
        <v>139</v>
      </c>
      <c r="H41" t="s">
        <v>92</v>
      </c>
      <c r="J41">
        <v>49.008715000000002</v>
      </c>
      <c r="K41">
        <v>11.824687000000001</v>
      </c>
      <c r="L41" t="s">
        <v>4</v>
      </c>
      <c r="M41">
        <v>0.14012201499999999</v>
      </c>
      <c r="N41">
        <v>0.108983789</v>
      </c>
      <c r="O41">
        <v>0.130780547</v>
      </c>
      <c r="P41">
        <v>0.108983789</v>
      </c>
      <c r="Q41">
        <v>9.9642322000000005E-2</v>
      </c>
      <c r="R41">
        <v>9.3414677000000002E-2</v>
      </c>
      <c r="S41">
        <v>9.3414677000000002E-2</v>
      </c>
    </row>
    <row r="42" spans="1:19" x14ac:dyDescent="0.25">
      <c r="A42" t="s">
        <v>5</v>
      </c>
      <c r="B42" t="s">
        <v>88</v>
      </c>
      <c r="C42" t="s">
        <v>89</v>
      </c>
      <c r="D42" t="s">
        <v>3</v>
      </c>
      <c r="E42" t="s">
        <v>154</v>
      </c>
      <c r="F42" t="s">
        <v>155</v>
      </c>
      <c r="G42" t="s">
        <v>139</v>
      </c>
      <c r="H42" t="s">
        <v>92</v>
      </c>
      <c r="J42">
        <v>51.140329999999999</v>
      </c>
      <c r="K42">
        <v>8.025404</v>
      </c>
      <c r="L42" t="s">
        <v>4</v>
      </c>
      <c r="M42">
        <v>2.4596616000000002E-2</v>
      </c>
      <c r="N42">
        <v>1.9130701E-2</v>
      </c>
      <c r="O42">
        <v>2.2956840999999999E-2</v>
      </c>
      <c r="P42">
        <v>1.9130701E-2</v>
      </c>
      <c r="Q42">
        <v>1.7490927E-2</v>
      </c>
      <c r="R42">
        <v>1.6397743999999999E-2</v>
      </c>
      <c r="S42">
        <v>1.6397743999999999E-2</v>
      </c>
    </row>
    <row r="43" spans="1:19" x14ac:dyDescent="0.25">
      <c r="A43" t="s">
        <v>5</v>
      </c>
      <c r="B43" t="s">
        <v>88</v>
      </c>
      <c r="C43" t="s">
        <v>89</v>
      </c>
      <c r="D43" t="s">
        <v>3</v>
      </c>
      <c r="E43" t="s">
        <v>156</v>
      </c>
      <c r="F43" t="s">
        <v>157</v>
      </c>
      <c r="G43" t="s">
        <v>139</v>
      </c>
      <c r="H43" t="s">
        <v>92</v>
      </c>
      <c r="J43">
        <v>50.419099000000003</v>
      </c>
      <c r="K43">
        <v>8.1118000000000006</v>
      </c>
      <c r="L43" t="s">
        <v>4</v>
      </c>
      <c r="M43">
        <v>0.13685265599999999</v>
      </c>
      <c r="N43">
        <v>0.106440954</v>
      </c>
      <c r="O43">
        <v>0.12772914499999999</v>
      </c>
      <c r="P43">
        <v>0.106440954</v>
      </c>
      <c r="Q43">
        <v>9.7317444000000003E-2</v>
      </c>
      <c r="R43">
        <v>9.1235103999999997E-2</v>
      </c>
      <c r="S43">
        <v>9.1235103999999997E-2</v>
      </c>
    </row>
    <row r="44" spans="1:19" x14ac:dyDescent="0.25">
      <c r="A44" t="s">
        <v>5</v>
      </c>
      <c r="B44" t="s">
        <v>88</v>
      </c>
      <c r="C44" t="s">
        <v>89</v>
      </c>
      <c r="D44" t="s">
        <v>3</v>
      </c>
      <c r="E44" t="s">
        <v>158</v>
      </c>
      <c r="F44" t="s">
        <v>159</v>
      </c>
      <c r="G44" t="s">
        <v>139</v>
      </c>
      <c r="H44" t="s">
        <v>92</v>
      </c>
      <c r="J44">
        <v>50.317605</v>
      </c>
      <c r="K44">
        <v>8.0657010000000007</v>
      </c>
      <c r="L44" t="s">
        <v>4</v>
      </c>
      <c r="M44">
        <v>0.14754278300000001</v>
      </c>
      <c r="N44">
        <v>0.114755498</v>
      </c>
      <c r="O44">
        <v>0.13770659800000001</v>
      </c>
      <c r="P44">
        <v>0.114755498</v>
      </c>
      <c r="Q44">
        <v>0.104919313</v>
      </c>
      <c r="R44">
        <v>9.8361855999999998E-2</v>
      </c>
      <c r="S44">
        <v>9.8361855999999998E-2</v>
      </c>
    </row>
    <row r="45" spans="1:19" x14ac:dyDescent="0.25">
      <c r="A45" t="s">
        <v>5</v>
      </c>
      <c r="B45" t="s">
        <v>88</v>
      </c>
      <c r="C45" t="s">
        <v>89</v>
      </c>
      <c r="D45" t="s">
        <v>3</v>
      </c>
      <c r="E45" t="s">
        <v>111</v>
      </c>
      <c r="F45" t="s">
        <v>112</v>
      </c>
      <c r="G45" t="s">
        <v>139</v>
      </c>
      <c r="H45" t="s">
        <v>92</v>
      </c>
      <c r="J45">
        <v>51.436858999999998</v>
      </c>
      <c r="K45">
        <v>8.3738720000000004</v>
      </c>
      <c r="L45" t="s">
        <v>4</v>
      </c>
      <c r="M45">
        <v>6.9950278000000005E-2</v>
      </c>
      <c r="N45">
        <v>5.4405771999999998E-2</v>
      </c>
      <c r="O45">
        <v>6.5286925999999995E-2</v>
      </c>
      <c r="P45">
        <v>5.4405771999999998E-2</v>
      </c>
      <c r="Q45">
        <v>4.9742420000000002E-2</v>
      </c>
      <c r="R45">
        <v>4.6633518999999998E-2</v>
      </c>
      <c r="S45">
        <v>4.6633518999999998E-2</v>
      </c>
    </row>
    <row r="46" spans="1:19" x14ac:dyDescent="0.25">
      <c r="A46" t="s">
        <v>5</v>
      </c>
      <c r="B46" t="s">
        <v>88</v>
      </c>
      <c r="C46" t="s">
        <v>89</v>
      </c>
      <c r="D46" t="s">
        <v>3</v>
      </c>
      <c r="E46" t="s">
        <v>160</v>
      </c>
      <c r="F46" t="s">
        <v>161</v>
      </c>
      <c r="G46" t="s">
        <v>139</v>
      </c>
      <c r="H46" t="s">
        <v>92</v>
      </c>
      <c r="J46">
        <v>49.029909000000004</v>
      </c>
      <c r="K46">
        <v>12.1388</v>
      </c>
      <c r="L46" t="s">
        <v>4</v>
      </c>
      <c r="M46">
        <v>7.8780244999999999E-2</v>
      </c>
      <c r="N46">
        <v>6.1273524000000003E-2</v>
      </c>
      <c r="O46">
        <v>7.3528228000000001E-2</v>
      </c>
      <c r="P46">
        <v>6.1273524000000003E-2</v>
      </c>
      <c r="Q46">
        <v>5.6021506999999998E-2</v>
      </c>
      <c r="R46">
        <v>5.2520163000000002E-2</v>
      </c>
      <c r="S46">
        <v>5.2520163000000002E-2</v>
      </c>
    </row>
    <row r="47" spans="1:19" x14ac:dyDescent="0.25">
      <c r="A47" t="s">
        <v>5</v>
      </c>
      <c r="B47" t="s">
        <v>88</v>
      </c>
      <c r="C47" t="s">
        <v>89</v>
      </c>
      <c r="D47" t="s">
        <v>3</v>
      </c>
      <c r="E47" t="s">
        <v>117</v>
      </c>
      <c r="F47" t="s">
        <v>118</v>
      </c>
      <c r="G47" t="s">
        <v>139</v>
      </c>
      <c r="H47" t="s">
        <v>92</v>
      </c>
      <c r="J47">
        <v>50.334173999999997</v>
      </c>
      <c r="K47">
        <v>6.7668109999999997</v>
      </c>
      <c r="L47" t="s">
        <v>4</v>
      </c>
      <c r="M47">
        <v>2.570391E-2</v>
      </c>
      <c r="N47">
        <v>1.9991930000000002E-2</v>
      </c>
      <c r="O47">
        <v>2.3990316000000001E-2</v>
      </c>
      <c r="P47">
        <v>1.9991930000000002E-2</v>
      </c>
      <c r="Q47">
        <v>1.8278335999999999E-2</v>
      </c>
      <c r="R47">
        <v>1.7135939999999999E-2</v>
      </c>
      <c r="S47">
        <v>1.7135939999999999E-2</v>
      </c>
    </row>
    <row r="48" spans="1:19" x14ac:dyDescent="0.25">
      <c r="A48" t="s">
        <v>5</v>
      </c>
      <c r="B48" t="s">
        <v>88</v>
      </c>
      <c r="C48" t="s">
        <v>89</v>
      </c>
      <c r="D48" t="s">
        <v>3</v>
      </c>
      <c r="E48" t="s">
        <v>162</v>
      </c>
      <c r="F48" t="s">
        <v>163</v>
      </c>
      <c r="G48" t="s">
        <v>139</v>
      </c>
      <c r="H48" t="s">
        <v>92</v>
      </c>
      <c r="J48">
        <v>52.040866999999999</v>
      </c>
      <c r="K48">
        <v>8.3994090000000003</v>
      </c>
      <c r="L48" t="s">
        <v>4</v>
      </c>
      <c r="M48">
        <v>4.4982670000000002E-3</v>
      </c>
      <c r="N48">
        <v>3.4986520000000001E-3</v>
      </c>
      <c r="O48">
        <v>4.198383E-3</v>
      </c>
      <c r="P48">
        <v>3.4986520000000001E-3</v>
      </c>
      <c r="Q48">
        <v>3.1987679999999998E-3</v>
      </c>
      <c r="R48">
        <v>2.998845E-3</v>
      </c>
      <c r="S48">
        <v>2.998845E-3</v>
      </c>
    </row>
    <row r="49" spans="1:19" x14ac:dyDescent="0.25">
      <c r="A49" t="s">
        <v>5</v>
      </c>
      <c r="B49" t="s">
        <v>88</v>
      </c>
      <c r="C49" t="s">
        <v>89</v>
      </c>
      <c r="D49" t="s">
        <v>3</v>
      </c>
      <c r="E49" t="s">
        <v>117</v>
      </c>
      <c r="F49" t="s">
        <v>118</v>
      </c>
      <c r="G49" t="s">
        <v>139</v>
      </c>
      <c r="H49" t="s">
        <v>92</v>
      </c>
      <c r="J49">
        <v>50.230564000000001</v>
      </c>
      <c r="K49">
        <v>6.6829239999999999</v>
      </c>
      <c r="L49" t="s">
        <v>4</v>
      </c>
      <c r="M49">
        <v>1.29658E-4</v>
      </c>
      <c r="N49">
        <v>1.00845E-4</v>
      </c>
      <c r="O49">
        <v>1.21014E-4</v>
      </c>
      <c r="P49">
        <v>1.00845E-4</v>
      </c>
      <c r="Q49" s="100">
        <v>9.2200000000000005E-5</v>
      </c>
      <c r="R49" s="100">
        <v>8.6399999999999999E-5</v>
      </c>
      <c r="S49" s="100">
        <v>8.6399999999999999E-5</v>
      </c>
    </row>
    <row r="50" spans="1:19" x14ac:dyDescent="0.25">
      <c r="A50" t="s">
        <v>5</v>
      </c>
      <c r="B50" t="s">
        <v>88</v>
      </c>
      <c r="C50" t="s">
        <v>89</v>
      </c>
      <c r="D50" t="s">
        <v>3</v>
      </c>
      <c r="E50" t="s">
        <v>164</v>
      </c>
      <c r="F50" t="s">
        <v>165</v>
      </c>
      <c r="G50" t="s">
        <v>139</v>
      </c>
      <c r="H50" t="s">
        <v>92</v>
      </c>
      <c r="J50">
        <v>51.296801000000002</v>
      </c>
      <c r="K50">
        <v>7.0149359999999996</v>
      </c>
      <c r="L50" t="s">
        <v>4</v>
      </c>
      <c r="M50">
        <v>0.91869605899999995</v>
      </c>
      <c r="N50">
        <v>0.71454137900000003</v>
      </c>
      <c r="O50">
        <v>0.85744965500000003</v>
      </c>
      <c r="P50">
        <v>0.71454137900000003</v>
      </c>
      <c r="Q50">
        <v>0.653294975</v>
      </c>
      <c r="R50">
        <v>0.61246403900000002</v>
      </c>
      <c r="S50">
        <v>0.61246403900000002</v>
      </c>
    </row>
    <row r="51" spans="1:19" x14ac:dyDescent="0.25">
      <c r="A51" t="s">
        <v>5</v>
      </c>
      <c r="B51" t="s">
        <v>88</v>
      </c>
      <c r="C51" t="s">
        <v>89</v>
      </c>
      <c r="D51" t="s">
        <v>3</v>
      </c>
      <c r="E51" t="s">
        <v>166</v>
      </c>
      <c r="F51" t="s">
        <v>167</v>
      </c>
      <c r="G51" t="s">
        <v>139</v>
      </c>
      <c r="H51" t="s">
        <v>92</v>
      </c>
      <c r="J51">
        <v>51.394948999999997</v>
      </c>
      <c r="K51">
        <v>8.6849950000000007</v>
      </c>
      <c r="L51" t="s">
        <v>4</v>
      </c>
      <c r="M51">
        <v>3.2763151999999997E-2</v>
      </c>
      <c r="N51">
        <v>2.5482451E-2</v>
      </c>
      <c r="O51">
        <v>3.0578942000000001E-2</v>
      </c>
      <c r="P51">
        <v>2.5482451E-2</v>
      </c>
      <c r="Q51">
        <v>2.3298241000000001E-2</v>
      </c>
      <c r="R51">
        <v>2.1842100999999999E-2</v>
      </c>
      <c r="S51">
        <v>2.1842100999999999E-2</v>
      </c>
    </row>
    <row r="52" spans="1:19" x14ac:dyDescent="0.25">
      <c r="A52" t="s">
        <v>5</v>
      </c>
      <c r="B52" t="s">
        <v>88</v>
      </c>
      <c r="C52" t="s">
        <v>89</v>
      </c>
      <c r="D52" t="s">
        <v>3</v>
      </c>
      <c r="E52" t="s">
        <v>168</v>
      </c>
      <c r="F52" t="s">
        <v>169</v>
      </c>
      <c r="G52" t="s">
        <v>139</v>
      </c>
      <c r="H52" t="s">
        <v>92</v>
      </c>
      <c r="J52">
        <v>51.397084999999997</v>
      </c>
      <c r="K52">
        <v>7.8406979999999997</v>
      </c>
      <c r="L52" t="s">
        <v>4</v>
      </c>
      <c r="M52">
        <v>0.39661315000000003</v>
      </c>
      <c r="N52">
        <v>0.308476894</v>
      </c>
      <c r="O52">
        <v>0.370172273</v>
      </c>
      <c r="P52">
        <v>0.308476894</v>
      </c>
      <c r="Q52">
        <v>0.282036018</v>
      </c>
      <c r="R52">
        <v>0.26440876699999999</v>
      </c>
      <c r="S52">
        <v>0.26440876699999999</v>
      </c>
    </row>
    <row r="53" spans="1:19" x14ac:dyDescent="0.25">
      <c r="A53" t="s">
        <v>5</v>
      </c>
      <c r="B53" t="s">
        <v>88</v>
      </c>
      <c r="C53" t="s">
        <v>89</v>
      </c>
      <c r="D53" t="s">
        <v>3</v>
      </c>
      <c r="E53" t="s">
        <v>170</v>
      </c>
      <c r="F53" t="s">
        <v>171</v>
      </c>
      <c r="G53" t="s">
        <v>139</v>
      </c>
      <c r="H53" t="s">
        <v>92</v>
      </c>
      <c r="J53">
        <v>52.059196999999998</v>
      </c>
      <c r="K53">
        <v>9.5886659999999999</v>
      </c>
      <c r="L53" t="s">
        <v>4</v>
      </c>
      <c r="M53">
        <v>4.9156319999999996E-3</v>
      </c>
      <c r="N53">
        <v>3.8232689999999998E-3</v>
      </c>
      <c r="O53">
        <v>4.5879229999999998E-3</v>
      </c>
      <c r="P53">
        <v>3.8232689999999998E-3</v>
      </c>
      <c r="Q53">
        <v>3.4955609999999999E-3</v>
      </c>
      <c r="R53">
        <v>3.277088E-3</v>
      </c>
      <c r="S53">
        <v>3.277088E-3</v>
      </c>
    </row>
    <row r="54" spans="1:19" x14ac:dyDescent="0.25">
      <c r="A54" t="s">
        <v>5</v>
      </c>
      <c r="B54" t="s">
        <v>88</v>
      </c>
      <c r="C54" t="s">
        <v>89</v>
      </c>
      <c r="D54" t="s">
        <v>3</v>
      </c>
      <c r="E54" t="s">
        <v>107</v>
      </c>
      <c r="F54" t="s">
        <v>108</v>
      </c>
      <c r="G54" t="s">
        <v>139</v>
      </c>
      <c r="H54" t="s">
        <v>92</v>
      </c>
      <c r="J54">
        <v>52.264046999999998</v>
      </c>
      <c r="K54">
        <v>7.3968769999999999</v>
      </c>
      <c r="L54" t="s">
        <v>4</v>
      </c>
      <c r="M54">
        <v>1.1933704999999999E-2</v>
      </c>
      <c r="N54">
        <v>9.28177E-3</v>
      </c>
      <c r="O54">
        <v>1.1138125E-2</v>
      </c>
      <c r="P54">
        <v>9.28177E-3</v>
      </c>
      <c r="Q54">
        <v>8.4861899999999994E-3</v>
      </c>
      <c r="R54">
        <v>7.9558029999999991E-3</v>
      </c>
      <c r="S54">
        <v>7.9558029999999991E-3</v>
      </c>
    </row>
    <row r="55" spans="1:19" x14ac:dyDescent="0.25">
      <c r="A55" t="s">
        <v>5</v>
      </c>
      <c r="B55" t="s">
        <v>88</v>
      </c>
      <c r="C55" t="s">
        <v>89</v>
      </c>
      <c r="D55" t="s">
        <v>3</v>
      </c>
      <c r="E55" t="s">
        <v>129</v>
      </c>
      <c r="F55" t="s">
        <v>130</v>
      </c>
      <c r="G55" t="s">
        <v>139</v>
      </c>
      <c r="H55" t="s">
        <v>92</v>
      </c>
      <c r="J55">
        <v>48.775784999999999</v>
      </c>
      <c r="K55">
        <v>10.699441999999999</v>
      </c>
      <c r="L55" t="s">
        <v>4</v>
      </c>
      <c r="M55">
        <v>7.941339E-2</v>
      </c>
      <c r="N55">
        <v>6.1765970000000003E-2</v>
      </c>
      <c r="O55">
        <v>7.4119164000000001E-2</v>
      </c>
      <c r="P55">
        <v>6.1765970000000003E-2</v>
      </c>
      <c r="Q55">
        <v>5.6471743999999997E-2</v>
      </c>
      <c r="R55">
        <v>5.2942259999999998E-2</v>
      </c>
      <c r="S55">
        <v>5.2942259999999998E-2</v>
      </c>
    </row>
    <row r="56" spans="1:19" x14ac:dyDescent="0.25">
      <c r="A56" t="s">
        <v>5</v>
      </c>
      <c r="B56" t="s">
        <v>88</v>
      </c>
      <c r="C56" t="s">
        <v>89</v>
      </c>
      <c r="D56" t="s">
        <v>3</v>
      </c>
      <c r="E56" t="s">
        <v>107</v>
      </c>
      <c r="F56" t="s">
        <v>108</v>
      </c>
      <c r="G56" t="s">
        <v>139</v>
      </c>
      <c r="H56" t="s">
        <v>92</v>
      </c>
      <c r="J56">
        <v>52.162646000000002</v>
      </c>
      <c r="K56">
        <v>7.968648</v>
      </c>
      <c r="L56" t="s">
        <v>4</v>
      </c>
      <c r="M56">
        <v>7.2120859999999995E-2</v>
      </c>
      <c r="N56">
        <v>5.6094001999999997E-2</v>
      </c>
      <c r="O56">
        <v>6.7312802000000005E-2</v>
      </c>
      <c r="P56">
        <v>5.6094001999999997E-2</v>
      </c>
      <c r="Q56">
        <v>5.1285944999999999E-2</v>
      </c>
      <c r="R56">
        <v>4.8080573000000001E-2</v>
      </c>
      <c r="S56">
        <v>4.8080573000000001E-2</v>
      </c>
    </row>
    <row r="57" spans="1:19" x14ac:dyDescent="0.25">
      <c r="A57" t="s">
        <v>5</v>
      </c>
      <c r="B57" t="s">
        <v>88</v>
      </c>
      <c r="C57" t="s">
        <v>89</v>
      </c>
      <c r="D57" t="s">
        <v>3</v>
      </c>
      <c r="E57" t="s">
        <v>172</v>
      </c>
      <c r="F57" t="s">
        <v>173</v>
      </c>
      <c r="G57" t="s">
        <v>139</v>
      </c>
      <c r="H57" t="s">
        <v>92</v>
      </c>
      <c r="J57">
        <v>50.027914000000003</v>
      </c>
      <c r="K57">
        <v>11.308923</v>
      </c>
      <c r="L57" t="s">
        <v>4</v>
      </c>
      <c r="M57">
        <v>1.658103E-3</v>
      </c>
      <c r="N57">
        <v>1.289636E-3</v>
      </c>
      <c r="O57">
        <v>1.5475630000000001E-3</v>
      </c>
      <c r="P57">
        <v>1.289636E-3</v>
      </c>
      <c r="Q57">
        <v>1.1790959999999999E-3</v>
      </c>
      <c r="R57">
        <v>1.1054019999999999E-3</v>
      </c>
      <c r="S57">
        <v>1.1054019999999999E-3</v>
      </c>
    </row>
    <row r="58" spans="1:19" x14ac:dyDescent="0.25">
      <c r="A58" t="s">
        <v>5</v>
      </c>
      <c r="B58" t="s">
        <v>88</v>
      </c>
      <c r="C58" t="s">
        <v>89</v>
      </c>
      <c r="D58" t="s">
        <v>3</v>
      </c>
      <c r="E58" t="s">
        <v>174</v>
      </c>
      <c r="F58" t="s">
        <v>175</v>
      </c>
      <c r="G58" t="s">
        <v>139</v>
      </c>
      <c r="H58" t="s">
        <v>92</v>
      </c>
      <c r="J58">
        <v>52.170476999999998</v>
      </c>
      <c r="K58">
        <v>9.7933900000000005</v>
      </c>
      <c r="L58" t="s">
        <v>4</v>
      </c>
      <c r="M58">
        <v>6.3428595000000004E-2</v>
      </c>
      <c r="N58">
        <v>4.9333351999999997E-2</v>
      </c>
      <c r="O58">
        <v>5.9200021999999998E-2</v>
      </c>
      <c r="P58">
        <v>4.9333351999999997E-2</v>
      </c>
      <c r="Q58">
        <v>4.5104778999999998E-2</v>
      </c>
      <c r="R58">
        <v>4.2285730000000001E-2</v>
      </c>
      <c r="S58">
        <v>4.2285730000000001E-2</v>
      </c>
    </row>
    <row r="59" spans="1:19" x14ac:dyDescent="0.25">
      <c r="A59" t="s">
        <v>5</v>
      </c>
      <c r="B59" t="s">
        <v>88</v>
      </c>
      <c r="C59" t="s">
        <v>89</v>
      </c>
      <c r="D59" t="s">
        <v>3</v>
      </c>
      <c r="E59" t="s">
        <v>176</v>
      </c>
      <c r="F59" t="s">
        <v>177</v>
      </c>
      <c r="G59" t="s">
        <v>139</v>
      </c>
      <c r="H59" t="s">
        <v>92</v>
      </c>
      <c r="J59">
        <v>52.023237000000002</v>
      </c>
      <c r="K59">
        <v>10.545916999999999</v>
      </c>
      <c r="L59" t="s">
        <v>4</v>
      </c>
      <c r="M59">
        <v>3.1327926999999998E-2</v>
      </c>
      <c r="N59">
        <v>2.4366166000000002E-2</v>
      </c>
      <c r="O59">
        <v>2.9239398999999999E-2</v>
      </c>
      <c r="P59">
        <v>2.4366166000000002E-2</v>
      </c>
      <c r="Q59">
        <v>2.2277636999999999E-2</v>
      </c>
      <c r="R59">
        <v>2.0885285E-2</v>
      </c>
      <c r="S59">
        <v>2.0885285E-2</v>
      </c>
    </row>
    <row r="60" spans="1:19" x14ac:dyDescent="0.25">
      <c r="A60" t="s">
        <v>5</v>
      </c>
      <c r="B60" t="s">
        <v>88</v>
      </c>
      <c r="C60" t="s">
        <v>89</v>
      </c>
      <c r="D60" t="s">
        <v>3</v>
      </c>
      <c r="E60" t="s">
        <v>178</v>
      </c>
      <c r="F60" t="s">
        <v>179</v>
      </c>
      <c r="G60" t="s">
        <v>139</v>
      </c>
      <c r="H60" t="s">
        <v>92</v>
      </c>
      <c r="J60">
        <v>52.071129999999997</v>
      </c>
      <c r="K60">
        <v>11.385047999999999</v>
      </c>
      <c r="L60" t="s">
        <v>4</v>
      </c>
      <c r="M60">
        <v>5.1052445000000002E-2</v>
      </c>
      <c r="N60">
        <v>3.9707458000000001E-2</v>
      </c>
      <c r="O60">
        <v>4.7648949000000003E-2</v>
      </c>
      <c r="P60">
        <v>3.9707458000000001E-2</v>
      </c>
      <c r="Q60">
        <v>3.6303961000000003E-2</v>
      </c>
      <c r="R60">
        <v>3.4034964000000001E-2</v>
      </c>
      <c r="S60">
        <v>3.4034964000000001E-2</v>
      </c>
    </row>
    <row r="61" spans="1:19" x14ac:dyDescent="0.25">
      <c r="A61" t="s">
        <v>5</v>
      </c>
      <c r="B61" t="s">
        <v>88</v>
      </c>
      <c r="C61" t="s">
        <v>89</v>
      </c>
      <c r="D61" t="s">
        <v>3</v>
      </c>
      <c r="E61" t="s">
        <v>180</v>
      </c>
      <c r="F61" t="s">
        <v>181</v>
      </c>
      <c r="G61" t="s">
        <v>139</v>
      </c>
      <c r="H61" t="s">
        <v>92</v>
      </c>
      <c r="J61">
        <v>52.977111999999998</v>
      </c>
      <c r="K61">
        <v>10.558517999999999</v>
      </c>
      <c r="L61" t="s">
        <v>4</v>
      </c>
      <c r="M61">
        <v>7.6179047999999999E-2</v>
      </c>
      <c r="N61">
        <v>5.9250371000000003E-2</v>
      </c>
      <c r="O61">
        <v>7.1100444999999998E-2</v>
      </c>
      <c r="P61">
        <v>5.9250371000000003E-2</v>
      </c>
      <c r="Q61">
        <v>5.4171768000000002E-2</v>
      </c>
      <c r="R61">
        <v>5.0786032000000002E-2</v>
      </c>
      <c r="S61">
        <v>5.0786032000000002E-2</v>
      </c>
    </row>
    <row r="62" spans="1:19" x14ac:dyDescent="0.25">
      <c r="A62" t="s">
        <v>5</v>
      </c>
      <c r="B62" t="s">
        <v>88</v>
      </c>
      <c r="C62" t="s">
        <v>89</v>
      </c>
      <c r="D62" t="s">
        <v>3</v>
      </c>
      <c r="E62" t="s">
        <v>182</v>
      </c>
      <c r="F62" t="s">
        <v>183</v>
      </c>
      <c r="G62" t="s">
        <v>139</v>
      </c>
      <c r="H62" t="s">
        <v>92</v>
      </c>
      <c r="J62">
        <v>52.233195000000002</v>
      </c>
      <c r="K62">
        <v>10.034605000000001</v>
      </c>
      <c r="L62" t="s">
        <v>4</v>
      </c>
      <c r="M62">
        <v>2.7071466999999998E-2</v>
      </c>
      <c r="N62">
        <v>2.1055585000000002E-2</v>
      </c>
      <c r="O62">
        <v>2.5266701999999999E-2</v>
      </c>
      <c r="P62">
        <v>2.1055585000000002E-2</v>
      </c>
      <c r="Q62">
        <v>1.9250821000000001E-2</v>
      </c>
      <c r="R62">
        <v>1.8047645000000001E-2</v>
      </c>
      <c r="S62">
        <v>1.8047645000000001E-2</v>
      </c>
    </row>
    <row r="63" spans="1:19" x14ac:dyDescent="0.25">
      <c r="A63" t="s">
        <v>5</v>
      </c>
      <c r="B63" t="s">
        <v>88</v>
      </c>
      <c r="C63" t="s">
        <v>89</v>
      </c>
      <c r="D63" t="s">
        <v>3</v>
      </c>
      <c r="E63" t="s">
        <v>184</v>
      </c>
      <c r="F63" t="s">
        <v>185</v>
      </c>
      <c r="G63" t="s">
        <v>139</v>
      </c>
      <c r="H63" t="s">
        <v>92</v>
      </c>
      <c r="J63">
        <v>51.205803000000003</v>
      </c>
      <c r="K63">
        <v>9.9074449999999992</v>
      </c>
      <c r="L63" t="s">
        <v>4</v>
      </c>
      <c r="M63">
        <v>2.3620398000000001E-2</v>
      </c>
      <c r="N63">
        <v>1.8371420999999999E-2</v>
      </c>
      <c r="O63">
        <v>2.2045704999999999E-2</v>
      </c>
      <c r="P63">
        <v>1.8371420999999999E-2</v>
      </c>
      <c r="Q63">
        <v>1.6796727000000001E-2</v>
      </c>
      <c r="R63">
        <v>1.5746932000000002E-2</v>
      </c>
      <c r="S63">
        <v>1.5746932000000002E-2</v>
      </c>
    </row>
    <row r="64" spans="1:19" x14ac:dyDescent="0.25">
      <c r="A64" t="s">
        <v>5</v>
      </c>
      <c r="B64" t="s">
        <v>88</v>
      </c>
      <c r="C64" t="s">
        <v>89</v>
      </c>
      <c r="D64" t="s">
        <v>3</v>
      </c>
      <c r="E64" t="s">
        <v>97</v>
      </c>
      <c r="F64" t="s">
        <v>98</v>
      </c>
      <c r="G64" t="s">
        <v>139</v>
      </c>
      <c r="H64" t="s">
        <v>92</v>
      </c>
      <c r="J64">
        <v>48.423419000000003</v>
      </c>
      <c r="K64">
        <v>9.9041779999999999</v>
      </c>
      <c r="L64" t="s">
        <v>4</v>
      </c>
      <c r="M64">
        <v>7.0400294000000002E-2</v>
      </c>
      <c r="N64">
        <v>5.4755784000000002E-2</v>
      </c>
      <c r="O64">
        <v>6.5706941000000005E-2</v>
      </c>
      <c r="P64">
        <v>5.4755784000000002E-2</v>
      </c>
      <c r="Q64">
        <v>5.0062430999999998E-2</v>
      </c>
      <c r="R64">
        <v>4.6933529000000002E-2</v>
      </c>
      <c r="S64">
        <v>4.6933529000000002E-2</v>
      </c>
    </row>
    <row r="65" spans="1:19" x14ac:dyDescent="0.25">
      <c r="A65" t="s">
        <v>5</v>
      </c>
      <c r="B65" t="s">
        <v>88</v>
      </c>
      <c r="C65" t="s">
        <v>89</v>
      </c>
      <c r="D65" t="s">
        <v>3</v>
      </c>
      <c r="E65" t="s">
        <v>186</v>
      </c>
      <c r="F65" t="s">
        <v>187</v>
      </c>
      <c r="G65" t="s">
        <v>139</v>
      </c>
      <c r="H65" t="s">
        <v>92</v>
      </c>
      <c r="J65">
        <v>49.364916000000001</v>
      </c>
      <c r="K65">
        <v>11.604835</v>
      </c>
      <c r="L65" t="s">
        <v>4</v>
      </c>
      <c r="M65">
        <v>2.4093127999999998E-2</v>
      </c>
      <c r="N65">
        <v>1.8739098999999999E-2</v>
      </c>
      <c r="O65">
        <v>2.2486919000000001E-2</v>
      </c>
      <c r="P65">
        <v>1.8739098999999999E-2</v>
      </c>
      <c r="Q65">
        <v>1.7132891000000001E-2</v>
      </c>
      <c r="R65">
        <v>1.6062085E-2</v>
      </c>
      <c r="S65">
        <v>1.6062085E-2</v>
      </c>
    </row>
    <row r="66" spans="1:19" x14ac:dyDescent="0.25">
      <c r="A66" t="s">
        <v>5</v>
      </c>
      <c r="B66" t="s">
        <v>88</v>
      </c>
      <c r="C66" t="s">
        <v>89</v>
      </c>
      <c r="D66" t="s">
        <v>3</v>
      </c>
      <c r="E66" t="s">
        <v>188</v>
      </c>
      <c r="F66" t="s">
        <v>189</v>
      </c>
      <c r="G66" t="s">
        <v>139</v>
      </c>
      <c r="H66" t="s">
        <v>92</v>
      </c>
      <c r="J66">
        <v>50.915255000000002</v>
      </c>
      <c r="K66">
        <v>6.3715789999999997</v>
      </c>
      <c r="L66" t="s">
        <v>4</v>
      </c>
      <c r="M66">
        <v>8.5499725999999998E-2</v>
      </c>
      <c r="N66">
        <v>6.6499787000000005E-2</v>
      </c>
      <c r="O66">
        <v>7.9799745000000005E-2</v>
      </c>
      <c r="P66">
        <v>6.6499787000000005E-2</v>
      </c>
      <c r="Q66">
        <v>6.0799805999999998E-2</v>
      </c>
      <c r="R66">
        <v>5.6999818000000001E-2</v>
      </c>
      <c r="S66">
        <v>5.6999818000000001E-2</v>
      </c>
    </row>
    <row r="67" spans="1:19" x14ac:dyDescent="0.25">
      <c r="A67" t="s">
        <v>5</v>
      </c>
      <c r="B67" t="s">
        <v>88</v>
      </c>
      <c r="C67" t="s">
        <v>89</v>
      </c>
      <c r="D67" t="s">
        <v>3</v>
      </c>
      <c r="E67" t="s">
        <v>190</v>
      </c>
      <c r="F67" t="s">
        <v>191</v>
      </c>
      <c r="G67" t="s">
        <v>139</v>
      </c>
      <c r="H67" t="s">
        <v>92</v>
      </c>
      <c r="J67">
        <v>50.657406000000002</v>
      </c>
      <c r="K67">
        <v>6.8105380000000002</v>
      </c>
      <c r="L67" t="s">
        <v>4</v>
      </c>
      <c r="M67">
        <v>4.1957485000000003E-2</v>
      </c>
      <c r="N67">
        <v>3.2633598999999999E-2</v>
      </c>
      <c r="O67">
        <v>3.9160318999999999E-2</v>
      </c>
      <c r="P67">
        <v>3.2633598999999999E-2</v>
      </c>
      <c r="Q67">
        <v>2.9836433999999998E-2</v>
      </c>
      <c r="R67">
        <v>2.7971657E-2</v>
      </c>
      <c r="S67">
        <v>2.7971657E-2</v>
      </c>
    </row>
    <row r="68" spans="1:19" x14ac:dyDescent="0.25">
      <c r="A68" t="s">
        <v>5</v>
      </c>
      <c r="B68" t="s">
        <v>88</v>
      </c>
      <c r="C68" t="s">
        <v>89</v>
      </c>
      <c r="D68" t="s">
        <v>3</v>
      </c>
      <c r="E68" t="s">
        <v>192</v>
      </c>
      <c r="F68" t="s">
        <v>193</v>
      </c>
      <c r="G68" t="s">
        <v>139</v>
      </c>
      <c r="H68" t="s">
        <v>92</v>
      </c>
      <c r="J68">
        <v>51.985916000000003</v>
      </c>
      <c r="K68">
        <v>8.8075480000000006</v>
      </c>
      <c r="L68" t="s">
        <v>4</v>
      </c>
      <c r="M68">
        <v>2.1625373999999999E-2</v>
      </c>
      <c r="N68">
        <v>1.6819735999999998E-2</v>
      </c>
      <c r="O68">
        <v>2.0183683000000001E-2</v>
      </c>
      <c r="P68">
        <v>1.6819735999999998E-2</v>
      </c>
      <c r="Q68">
        <v>1.5378044E-2</v>
      </c>
      <c r="R68">
        <v>1.4416916E-2</v>
      </c>
      <c r="S68">
        <v>1.4416916E-2</v>
      </c>
    </row>
    <row r="69" spans="1:19" x14ac:dyDescent="0.25">
      <c r="A69" t="s">
        <v>5</v>
      </c>
      <c r="B69" t="s">
        <v>88</v>
      </c>
      <c r="C69" t="s">
        <v>89</v>
      </c>
      <c r="D69" t="s">
        <v>3</v>
      </c>
      <c r="E69" t="s">
        <v>194</v>
      </c>
      <c r="F69" t="s">
        <v>195</v>
      </c>
      <c r="G69" t="s">
        <v>139</v>
      </c>
      <c r="H69" t="s">
        <v>92</v>
      </c>
      <c r="J69">
        <v>51.729120999999999</v>
      </c>
      <c r="K69">
        <v>6.3590609999999996</v>
      </c>
      <c r="L69" t="s">
        <v>4</v>
      </c>
      <c r="M69">
        <v>2.1348077E-2</v>
      </c>
      <c r="N69">
        <v>1.660406E-2</v>
      </c>
      <c r="O69">
        <v>1.9924872E-2</v>
      </c>
      <c r="P69">
        <v>1.660406E-2</v>
      </c>
      <c r="Q69">
        <v>1.5180855E-2</v>
      </c>
      <c r="R69">
        <v>1.4232052E-2</v>
      </c>
      <c r="S69">
        <v>1.4232052E-2</v>
      </c>
    </row>
    <row r="70" spans="1:19" x14ac:dyDescent="0.25">
      <c r="A70" t="s">
        <v>5</v>
      </c>
      <c r="B70" t="s">
        <v>88</v>
      </c>
      <c r="C70" t="s">
        <v>89</v>
      </c>
      <c r="D70" t="s">
        <v>3</v>
      </c>
      <c r="E70" t="s">
        <v>133</v>
      </c>
      <c r="F70" t="s">
        <v>134</v>
      </c>
      <c r="G70" t="s">
        <v>139</v>
      </c>
      <c r="H70" t="s">
        <v>92</v>
      </c>
      <c r="J70">
        <v>51.698058000000003</v>
      </c>
      <c r="K70">
        <v>11.757585000000001</v>
      </c>
      <c r="L70" t="s">
        <v>4</v>
      </c>
      <c r="M70">
        <v>5.2051849999999997E-2</v>
      </c>
      <c r="N70">
        <v>4.0484772000000002E-2</v>
      </c>
      <c r="O70">
        <v>4.8581726999999998E-2</v>
      </c>
      <c r="P70">
        <v>4.0484772000000002E-2</v>
      </c>
      <c r="Q70">
        <v>3.7014648999999997E-2</v>
      </c>
      <c r="R70">
        <v>3.4701232999999998E-2</v>
      </c>
      <c r="S70">
        <v>3.4701232999999998E-2</v>
      </c>
    </row>
    <row r="71" spans="1:19" x14ac:dyDescent="0.25">
      <c r="A71" t="s">
        <v>5</v>
      </c>
      <c r="B71" t="s">
        <v>88</v>
      </c>
      <c r="C71" t="s">
        <v>89</v>
      </c>
      <c r="D71" t="s">
        <v>3</v>
      </c>
      <c r="E71" t="s">
        <v>111</v>
      </c>
      <c r="F71" t="s">
        <v>112</v>
      </c>
      <c r="G71" t="s">
        <v>139</v>
      </c>
      <c r="H71" t="s">
        <v>92</v>
      </c>
      <c r="J71">
        <v>51.597330999999997</v>
      </c>
      <c r="K71">
        <v>8.3411760000000008</v>
      </c>
      <c r="L71" t="s">
        <v>4</v>
      </c>
      <c r="M71">
        <v>5.7637064000000002E-2</v>
      </c>
      <c r="N71">
        <v>4.4828828000000001E-2</v>
      </c>
      <c r="O71">
        <v>5.3794593000000002E-2</v>
      </c>
      <c r="P71">
        <v>4.4828828000000001E-2</v>
      </c>
      <c r="Q71">
        <v>4.0986357000000001E-2</v>
      </c>
      <c r="R71">
        <v>3.8424710000000001E-2</v>
      </c>
      <c r="S71">
        <v>3.8424710000000001E-2</v>
      </c>
    </row>
    <row r="72" spans="1:19" x14ac:dyDescent="0.25">
      <c r="A72" t="s">
        <v>5</v>
      </c>
      <c r="B72" t="s">
        <v>88</v>
      </c>
      <c r="C72" t="s">
        <v>89</v>
      </c>
      <c r="D72" t="s">
        <v>3</v>
      </c>
      <c r="E72" t="s">
        <v>196</v>
      </c>
      <c r="F72" t="s">
        <v>197</v>
      </c>
      <c r="G72" t="s">
        <v>139</v>
      </c>
      <c r="H72" t="s">
        <v>92</v>
      </c>
      <c r="J72">
        <v>52.169490000000003</v>
      </c>
      <c r="K72">
        <v>14.626637000000001</v>
      </c>
      <c r="L72" t="s">
        <v>4</v>
      </c>
      <c r="M72">
        <v>7.2417085000000006E-2</v>
      </c>
      <c r="N72">
        <v>5.6324398999999997E-2</v>
      </c>
      <c r="O72">
        <v>6.7589279000000002E-2</v>
      </c>
      <c r="P72">
        <v>5.6324398999999997E-2</v>
      </c>
      <c r="Q72">
        <v>5.1496594E-2</v>
      </c>
      <c r="R72">
        <v>4.8278056999999999E-2</v>
      </c>
      <c r="S72">
        <v>4.8278056999999999E-2</v>
      </c>
    </row>
    <row r="73" spans="1:19" x14ac:dyDescent="0.25">
      <c r="A73" t="s">
        <v>5</v>
      </c>
      <c r="B73" t="s">
        <v>88</v>
      </c>
      <c r="C73" t="s">
        <v>89</v>
      </c>
      <c r="D73" t="s">
        <v>3</v>
      </c>
      <c r="E73" t="s">
        <v>140</v>
      </c>
      <c r="F73" t="s">
        <v>141</v>
      </c>
      <c r="G73" t="s">
        <v>139</v>
      </c>
      <c r="H73" t="s">
        <v>92</v>
      </c>
      <c r="J73">
        <v>50.944513999999998</v>
      </c>
      <c r="K73">
        <v>11.988065000000001</v>
      </c>
      <c r="L73" t="s">
        <v>4</v>
      </c>
      <c r="M73">
        <v>3.2936343999999999E-2</v>
      </c>
      <c r="N73">
        <v>2.5617157000000002E-2</v>
      </c>
      <c r="O73">
        <v>3.0740587999999999E-2</v>
      </c>
      <c r="P73">
        <v>2.5617157000000002E-2</v>
      </c>
      <c r="Q73">
        <v>2.3421399999999998E-2</v>
      </c>
      <c r="R73">
        <v>2.1957562999999999E-2</v>
      </c>
      <c r="S73">
        <v>2.1957562999999999E-2</v>
      </c>
    </row>
    <row r="74" spans="1:19" x14ac:dyDescent="0.25">
      <c r="A74" t="s">
        <v>5</v>
      </c>
      <c r="B74" t="s">
        <v>88</v>
      </c>
      <c r="C74" t="s">
        <v>89</v>
      </c>
      <c r="D74" t="s">
        <v>3</v>
      </c>
      <c r="E74" t="s">
        <v>198</v>
      </c>
      <c r="F74" t="s">
        <v>199</v>
      </c>
      <c r="G74" t="s">
        <v>139</v>
      </c>
      <c r="H74" t="s">
        <v>92</v>
      </c>
      <c r="J74">
        <v>53.853903000000003</v>
      </c>
      <c r="K74">
        <v>13.708684</v>
      </c>
      <c r="L74" t="s">
        <v>4</v>
      </c>
      <c r="M74">
        <v>3.9175997999999997E-2</v>
      </c>
      <c r="N74">
        <v>3.0470220999999999E-2</v>
      </c>
      <c r="O74">
        <v>3.6564264999999999E-2</v>
      </c>
      <c r="P74">
        <v>3.0470220999999999E-2</v>
      </c>
      <c r="Q74">
        <v>2.7858488000000001E-2</v>
      </c>
      <c r="R74">
        <v>2.6117332E-2</v>
      </c>
      <c r="S74">
        <v>2.6117332E-2</v>
      </c>
    </row>
    <row r="75" spans="1:19" x14ac:dyDescent="0.25">
      <c r="A75" t="s">
        <v>5</v>
      </c>
      <c r="B75" t="s">
        <v>88</v>
      </c>
      <c r="C75" t="s">
        <v>89</v>
      </c>
      <c r="D75" t="s">
        <v>3</v>
      </c>
      <c r="E75" t="s">
        <v>200</v>
      </c>
      <c r="F75" t="s">
        <v>201</v>
      </c>
      <c r="G75" t="s">
        <v>139</v>
      </c>
      <c r="H75" t="s">
        <v>92</v>
      </c>
      <c r="J75">
        <v>51.491359000000003</v>
      </c>
      <c r="K75">
        <v>9.1656840000000006</v>
      </c>
      <c r="L75" t="s">
        <v>4</v>
      </c>
      <c r="M75">
        <v>1.6134327E-2</v>
      </c>
      <c r="N75">
        <v>1.2548920999999999E-2</v>
      </c>
      <c r="O75">
        <v>1.5058706E-2</v>
      </c>
      <c r="P75">
        <v>1.2548920999999999E-2</v>
      </c>
      <c r="Q75">
        <v>1.1473298999999999E-2</v>
      </c>
      <c r="R75">
        <v>1.0756218E-2</v>
      </c>
      <c r="S75">
        <v>1.0756218E-2</v>
      </c>
    </row>
    <row r="76" spans="1:19" x14ac:dyDescent="0.25">
      <c r="A76" t="s">
        <v>5</v>
      </c>
      <c r="B76" t="s">
        <v>88</v>
      </c>
      <c r="C76" t="s">
        <v>89</v>
      </c>
      <c r="D76" t="s">
        <v>3</v>
      </c>
      <c r="E76" t="s">
        <v>202</v>
      </c>
      <c r="F76" t="s">
        <v>203</v>
      </c>
      <c r="G76" t="s">
        <v>139</v>
      </c>
      <c r="H76" t="s">
        <v>92</v>
      </c>
      <c r="J76">
        <v>51.102179999999997</v>
      </c>
      <c r="K76">
        <v>9.3601209999999995</v>
      </c>
      <c r="L76" t="s">
        <v>4</v>
      </c>
      <c r="M76">
        <v>1.9918057999999999E-2</v>
      </c>
      <c r="N76">
        <v>1.5491823E-2</v>
      </c>
      <c r="O76">
        <v>1.8590188000000001E-2</v>
      </c>
      <c r="P76">
        <v>1.5491823E-2</v>
      </c>
      <c r="Q76">
        <v>1.4163952E-2</v>
      </c>
      <c r="R76">
        <v>1.3278705E-2</v>
      </c>
      <c r="S76">
        <v>1.3278705E-2</v>
      </c>
    </row>
    <row r="77" spans="1:19" x14ac:dyDescent="0.25">
      <c r="A77" t="s">
        <v>5</v>
      </c>
      <c r="B77" t="s">
        <v>88</v>
      </c>
      <c r="C77" t="s">
        <v>89</v>
      </c>
      <c r="D77" t="s">
        <v>3</v>
      </c>
      <c r="E77" t="s">
        <v>204</v>
      </c>
      <c r="F77" t="s">
        <v>205</v>
      </c>
      <c r="G77" t="s">
        <v>139</v>
      </c>
      <c r="H77" t="s">
        <v>92</v>
      </c>
      <c r="J77">
        <v>49.243552000000001</v>
      </c>
      <c r="K77">
        <v>9.1805129999999995</v>
      </c>
      <c r="L77" t="s">
        <v>4</v>
      </c>
      <c r="M77">
        <v>3.6359493999999999E-2</v>
      </c>
      <c r="N77">
        <v>2.8279606999999998E-2</v>
      </c>
      <c r="O77">
        <v>3.3935528E-2</v>
      </c>
      <c r="P77">
        <v>2.8279606999999998E-2</v>
      </c>
      <c r="Q77">
        <v>2.5855639999999999E-2</v>
      </c>
      <c r="R77">
        <v>2.4239663000000002E-2</v>
      </c>
      <c r="S77">
        <v>2.4239663000000002E-2</v>
      </c>
    </row>
    <row r="78" spans="1:19" x14ac:dyDescent="0.25">
      <c r="A78" t="s">
        <v>5</v>
      </c>
      <c r="B78" t="s">
        <v>88</v>
      </c>
      <c r="C78" t="s">
        <v>89</v>
      </c>
      <c r="D78" t="s">
        <v>3</v>
      </c>
      <c r="E78" t="s">
        <v>206</v>
      </c>
      <c r="F78" t="s">
        <v>207</v>
      </c>
      <c r="G78" t="s">
        <v>139</v>
      </c>
      <c r="H78" t="s">
        <v>92</v>
      </c>
      <c r="J78">
        <v>49.665720999999998</v>
      </c>
      <c r="K78">
        <v>10.080456999999999</v>
      </c>
      <c r="L78" t="s">
        <v>4</v>
      </c>
      <c r="M78">
        <v>6.8611114000000001E-2</v>
      </c>
      <c r="N78">
        <v>5.3364199000000001E-2</v>
      </c>
      <c r="O78">
        <v>6.4037039000000004E-2</v>
      </c>
      <c r="P78">
        <v>5.3364199000000001E-2</v>
      </c>
      <c r="Q78">
        <v>4.8790124999999997E-2</v>
      </c>
      <c r="R78">
        <v>4.5740742000000001E-2</v>
      </c>
      <c r="S78">
        <v>4.5740742000000001E-2</v>
      </c>
    </row>
    <row r="79" spans="1:19" x14ac:dyDescent="0.25">
      <c r="A79" t="s">
        <v>5</v>
      </c>
      <c r="B79" t="s">
        <v>88</v>
      </c>
      <c r="C79" t="s">
        <v>89</v>
      </c>
      <c r="D79" t="s">
        <v>3</v>
      </c>
      <c r="E79" t="s">
        <v>135</v>
      </c>
      <c r="F79" t="s">
        <v>136</v>
      </c>
      <c r="G79" t="s">
        <v>139</v>
      </c>
      <c r="H79" t="s">
        <v>92</v>
      </c>
      <c r="J79">
        <v>51.053932000000003</v>
      </c>
      <c r="K79">
        <v>12.110927</v>
      </c>
      <c r="L79" t="s">
        <v>4</v>
      </c>
      <c r="M79">
        <v>0.13392447599999999</v>
      </c>
      <c r="N79">
        <v>0.104163481</v>
      </c>
      <c r="O79">
        <v>0.124996178</v>
      </c>
      <c r="P79">
        <v>0.104163481</v>
      </c>
      <c r="Q79">
        <v>9.5235183000000001E-2</v>
      </c>
      <c r="R79">
        <v>8.9282983999999996E-2</v>
      </c>
      <c r="S79">
        <v>8.9282983999999996E-2</v>
      </c>
    </row>
    <row r="80" spans="1:19" x14ac:dyDescent="0.25">
      <c r="A80" t="s">
        <v>5</v>
      </c>
      <c r="B80" t="s">
        <v>88</v>
      </c>
      <c r="C80" t="s">
        <v>89</v>
      </c>
      <c r="D80" t="s">
        <v>3</v>
      </c>
      <c r="E80" t="s">
        <v>208</v>
      </c>
      <c r="F80" t="s">
        <v>209</v>
      </c>
      <c r="G80" t="s">
        <v>139</v>
      </c>
      <c r="H80" t="s">
        <v>92</v>
      </c>
      <c r="J80">
        <v>51.459828999999999</v>
      </c>
      <c r="K80">
        <v>13.223212999999999</v>
      </c>
      <c r="L80" t="s">
        <v>4</v>
      </c>
      <c r="M80">
        <v>3.4265571000000002E-2</v>
      </c>
      <c r="N80">
        <v>2.6651000000000001E-2</v>
      </c>
      <c r="O80">
        <v>3.1981200000000001E-2</v>
      </c>
      <c r="P80">
        <v>2.6651000000000001E-2</v>
      </c>
      <c r="Q80">
        <v>2.4366628000000001E-2</v>
      </c>
      <c r="R80">
        <v>2.2843714000000001E-2</v>
      </c>
      <c r="S80">
        <v>2.2843714000000001E-2</v>
      </c>
    </row>
    <row r="81" spans="1:19" x14ac:dyDescent="0.25">
      <c r="A81" t="s">
        <v>5</v>
      </c>
      <c r="B81" t="s">
        <v>88</v>
      </c>
      <c r="C81" t="s">
        <v>89</v>
      </c>
      <c r="D81" t="s">
        <v>3</v>
      </c>
      <c r="E81" t="s">
        <v>129</v>
      </c>
      <c r="F81" t="s">
        <v>130</v>
      </c>
      <c r="G81" t="s">
        <v>139</v>
      </c>
      <c r="H81" t="s">
        <v>92</v>
      </c>
      <c r="J81">
        <v>48.69791</v>
      </c>
      <c r="K81">
        <v>10.909583</v>
      </c>
      <c r="L81" t="s">
        <v>4</v>
      </c>
      <c r="M81">
        <v>3.7691086999999998E-2</v>
      </c>
      <c r="N81">
        <v>2.9315290000000001E-2</v>
      </c>
      <c r="O81">
        <v>3.5178347999999998E-2</v>
      </c>
      <c r="P81">
        <v>2.9315290000000001E-2</v>
      </c>
      <c r="Q81">
        <v>2.6802551000000001E-2</v>
      </c>
      <c r="R81">
        <v>2.5127390999999999E-2</v>
      </c>
      <c r="S81">
        <v>2.5127390999999999E-2</v>
      </c>
    </row>
    <row r="82" spans="1:19" x14ac:dyDescent="0.25">
      <c r="A82" t="s">
        <v>5</v>
      </c>
      <c r="B82" t="s">
        <v>88</v>
      </c>
      <c r="C82" t="s">
        <v>89</v>
      </c>
      <c r="D82" t="s">
        <v>3</v>
      </c>
      <c r="E82" t="s">
        <v>210</v>
      </c>
      <c r="F82" t="s">
        <v>211</v>
      </c>
      <c r="G82" t="s">
        <v>139</v>
      </c>
      <c r="H82" t="s">
        <v>92</v>
      </c>
      <c r="J82">
        <v>49.599576999999996</v>
      </c>
      <c r="K82">
        <v>8.2196610000000003</v>
      </c>
      <c r="L82" t="s">
        <v>4</v>
      </c>
      <c r="M82">
        <v>6.7556344000000004E-2</v>
      </c>
      <c r="N82">
        <v>5.2543823000000003E-2</v>
      </c>
      <c r="O82">
        <v>6.3052588000000007E-2</v>
      </c>
      <c r="P82">
        <v>5.2543823000000003E-2</v>
      </c>
      <c r="Q82">
        <v>4.8040066999999999E-2</v>
      </c>
      <c r="R82">
        <v>4.5037563000000003E-2</v>
      </c>
      <c r="S82">
        <v>4.5037563000000003E-2</v>
      </c>
    </row>
    <row r="83" spans="1:19" x14ac:dyDescent="0.25">
      <c r="A83" t="s">
        <v>5</v>
      </c>
      <c r="B83" t="s">
        <v>88</v>
      </c>
      <c r="C83" t="s">
        <v>89</v>
      </c>
      <c r="D83" t="s">
        <v>3</v>
      </c>
      <c r="E83" t="s">
        <v>212</v>
      </c>
      <c r="F83" t="s">
        <v>213</v>
      </c>
      <c r="G83" t="s">
        <v>139</v>
      </c>
      <c r="H83" t="s">
        <v>92</v>
      </c>
      <c r="J83">
        <v>48.786760000000001</v>
      </c>
      <c r="K83">
        <v>12.882771</v>
      </c>
      <c r="L83" t="s">
        <v>4</v>
      </c>
      <c r="M83">
        <v>5.9421039000000002E-2</v>
      </c>
      <c r="N83">
        <v>4.6216364000000003E-2</v>
      </c>
      <c r="O83">
        <v>5.5459636999999999E-2</v>
      </c>
      <c r="P83">
        <v>4.6216364000000003E-2</v>
      </c>
      <c r="Q83">
        <v>4.2254961000000001E-2</v>
      </c>
      <c r="R83">
        <v>3.9614025999999997E-2</v>
      </c>
      <c r="S83">
        <v>3.9614025999999997E-2</v>
      </c>
    </row>
    <row r="84" spans="1:19" x14ac:dyDescent="0.25">
      <c r="A84" t="s">
        <v>5</v>
      </c>
      <c r="B84" t="s">
        <v>88</v>
      </c>
      <c r="C84" t="s">
        <v>89</v>
      </c>
      <c r="D84" t="s">
        <v>3</v>
      </c>
      <c r="E84" t="s">
        <v>214</v>
      </c>
      <c r="F84" t="s">
        <v>215</v>
      </c>
      <c r="G84" t="s">
        <v>7</v>
      </c>
      <c r="H84" t="s">
        <v>92</v>
      </c>
      <c r="J84">
        <v>47.891316660000001</v>
      </c>
      <c r="K84">
        <v>7.6164636420000003</v>
      </c>
      <c r="L84" t="s">
        <v>4</v>
      </c>
      <c r="M84">
        <v>0</v>
      </c>
      <c r="N84">
        <v>3.9440279999999996E-3</v>
      </c>
      <c r="O84">
        <v>2.297486E-2</v>
      </c>
      <c r="P84">
        <v>5.6290736000000001E-2</v>
      </c>
      <c r="Q84">
        <v>8.3387163E-2</v>
      </c>
      <c r="R84">
        <v>0.115849047</v>
      </c>
      <c r="S84">
        <v>0.115849047</v>
      </c>
    </row>
    <row r="85" spans="1:19" x14ac:dyDescent="0.25">
      <c r="A85" t="s">
        <v>5</v>
      </c>
      <c r="B85" t="s">
        <v>88</v>
      </c>
      <c r="C85" t="s">
        <v>89</v>
      </c>
      <c r="D85" t="s">
        <v>3</v>
      </c>
      <c r="E85" t="s">
        <v>216</v>
      </c>
      <c r="F85" t="s">
        <v>217</v>
      </c>
      <c r="G85" t="s">
        <v>7</v>
      </c>
      <c r="H85" t="s">
        <v>92</v>
      </c>
      <c r="J85">
        <v>47.7592316</v>
      </c>
      <c r="K85">
        <v>10.31880001</v>
      </c>
      <c r="L85" t="s">
        <v>4</v>
      </c>
      <c r="M85">
        <v>0</v>
      </c>
      <c r="N85">
        <v>3.411051E-3</v>
      </c>
      <c r="O85">
        <v>1.9870149E-2</v>
      </c>
      <c r="P85">
        <v>4.8683878999999999E-2</v>
      </c>
      <c r="Q85">
        <v>7.2118627000000005E-2</v>
      </c>
      <c r="R85">
        <v>0.100193771</v>
      </c>
      <c r="S85">
        <v>0.100193771</v>
      </c>
    </row>
    <row r="86" spans="1:19" x14ac:dyDescent="0.25">
      <c r="A86" t="s">
        <v>5</v>
      </c>
      <c r="B86" t="s">
        <v>88</v>
      </c>
      <c r="C86" t="s">
        <v>89</v>
      </c>
      <c r="D86" t="s">
        <v>3</v>
      </c>
      <c r="E86" t="s">
        <v>218</v>
      </c>
      <c r="F86" t="s">
        <v>219</v>
      </c>
      <c r="G86" t="s">
        <v>7</v>
      </c>
      <c r="H86" t="s">
        <v>92</v>
      </c>
      <c r="J86">
        <v>47.85607066</v>
      </c>
      <c r="K86">
        <v>12.13358303</v>
      </c>
      <c r="L86" t="s">
        <v>4</v>
      </c>
      <c r="M86">
        <v>0</v>
      </c>
      <c r="N86">
        <v>2.1319070000000002E-3</v>
      </c>
      <c r="O86">
        <v>1.2418843000000001E-2</v>
      </c>
      <c r="P86">
        <v>3.0427425000000001E-2</v>
      </c>
      <c r="Q86">
        <v>4.5074141999999998E-2</v>
      </c>
      <c r="R86">
        <v>6.2621106999999995E-2</v>
      </c>
      <c r="S86">
        <v>6.2621106999999995E-2</v>
      </c>
    </row>
    <row r="87" spans="1:19" x14ac:dyDescent="0.25">
      <c r="A87" t="s">
        <v>5</v>
      </c>
      <c r="B87" t="s">
        <v>88</v>
      </c>
      <c r="C87" t="s">
        <v>89</v>
      </c>
      <c r="D87" t="s">
        <v>3</v>
      </c>
      <c r="E87" t="s">
        <v>220</v>
      </c>
      <c r="F87" t="s">
        <v>221</v>
      </c>
      <c r="G87" t="s">
        <v>7</v>
      </c>
      <c r="H87" t="s">
        <v>92</v>
      </c>
      <c r="J87">
        <v>48.184673170000003</v>
      </c>
      <c r="K87">
        <v>12.738267240000001</v>
      </c>
      <c r="L87" t="s">
        <v>4</v>
      </c>
      <c r="M87">
        <v>0</v>
      </c>
      <c r="N87">
        <v>5.6026510000000002E-3</v>
      </c>
      <c r="O87">
        <v>3.2636720000000001E-2</v>
      </c>
      <c r="P87">
        <v>7.9963272000000002E-2</v>
      </c>
      <c r="Q87">
        <v>0.118454846</v>
      </c>
      <c r="R87">
        <v>0.16456826799999999</v>
      </c>
      <c r="S87">
        <v>0.16456826799999999</v>
      </c>
    </row>
    <row r="88" spans="1:19" x14ac:dyDescent="0.25">
      <c r="A88" t="s">
        <v>5</v>
      </c>
      <c r="B88" t="s">
        <v>88</v>
      </c>
      <c r="C88" t="s">
        <v>89</v>
      </c>
      <c r="D88" t="s">
        <v>3</v>
      </c>
      <c r="E88" t="s">
        <v>222</v>
      </c>
      <c r="F88" t="s">
        <v>223</v>
      </c>
      <c r="G88" t="s">
        <v>7</v>
      </c>
      <c r="H88" t="s">
        <v>92</v>
      </c>
      <c r="J88">
        <v>48.181362759999999</v>
      </c>
      <c r="K88">
        <v>11.637290269999999</v>
      </c>
      <c r="L88" t="s">
        <v>4</v>
      </c>
      <c r="M88">
        <v>0</v>
      </c>
      <c r="N88">
        <v>1.5349730000000001E-2</v>
      </c>
      <c r="O88">
        <v>8.9415672000000002E-2</v>
      </c>
      <c r="P88">
        <v>0.219077457</v>
      </c>
      <c r="Q88">
        <v>0.32453382400000003</v>
      </c>
      <c r="R88">
        <v>0.45087196800000001</v>
      </c>
      <c r="S88">
        <v>0.45087196800000001</v>
      </c>
    </row>
    <row r="89" spans="1:19" x14ac:dyDescent="0.25">
      <c r="A89" t="s">
        <v>5</v>
      </c>
      <c r="B89" t="s">
        <v>88</v>
      </c>
      <c r="C89" t="s">
        <v>89</v>
      </c>
      <c r="D89" t="s">
        <v>3</v>
      </c>
      <c r="E89" t="s">
        <v>224</v>
      </c>
      <c r="F89" t="s">
        <v>225</v>
      </c>
      <c r="G89" t="s">
        <v>7</v>
      </c>
      <c r="H89" t="s">
        <v>92</v>
      </c>
      <c r="J89">
        <v>48.234881199999997</v>
      </c>
      <c r="K89">
        <v>11.35853928</v>
      </c>
      <c r="L89" t="s">
        <v>4</v>
      </c>
      <c r="M89">
        <v>0</v>
      </c>
      <c r="N89">
        <v>2.7288410000000001E-3</v>
      </c>
      <c r="O89">
        <v>1.5896119E-2</v>
      </c>
      <c r="P89">
        <v>3.8947104000000003E-2</v>
      </c>
      <c r="Q89">
        <v>5.7694901999999999E-2</v>
      </c>
      <c r="R89">
        <v>8.0155016999999995E-2</v>
      </c>
      <c r="S89">
        <v>8.0155016999999995E-2</v>
      </c>
    </row>
    <row r="90" spans="1:19" x14ac:dyDescent="0.25">
      <c r="A90" t="s">
        <v>5</v>
      </c>
      <c r="B90" t="s">
        <v>88</v>
      </c>
      <c r="C90" t="s">
        <v>89</v>
      </c>
      <c r="D90" t="s">
        <v>3</v>
      </c>
      <c r="E90" t="s">
        <v>226</v>
      </c>
      <c r="F90" t="s">
        <v>227</v>
      </c>
      <c r="G90" t="s">
        <v>7</v>
      </c>
      <c r="H90" t="s">
        <v>92</v>
      </c>
      <c r="J90">
        <v>48.401756519999999</v>
      </c>
      <c r="K90">
        <v>10.933586930000001</v>
      </c>
      <c r="L90" t="s">
        <v>4</v>
      </c>
      <c r="M90">
        <v>0</v>
      </c>
      <c r="N90">
        <v>5.5429579999999997E-3</v>
      </c>
      <c r="O90">
        <v>3.2288993000000002E-2</v>
      </c>
      <c r="P90">
        <v>7.9111303999999993E-2</v>
      </c>
      <c r="Q90">
        <v>0.11719277</v>
      </c>
      <c r="R90">
        <v>0.162814877</v>
      </c>
      <c r="S90">
        <v>0.162814877</v>
      </c>
    </row>
    <row r="91" spans="1:19" x14ac:dyDescent="0.25">
      <c r="A91" t="s">
        <v>5</v>
      </c>
      <c r="B91" t="s">
        <v>88</v>
      </c>
      <c r="C91" t="s">
        <v>89</v>
      </c>
      <c r="D91" t="s">
        <v>3</v>
      </c>
      <c r="E91" t="s">
        <v>228</v>
      </c>
      <c r="F91" t="s">
        <v>229</v>
      </c>
      <c r="G91" t="s">
        <v>7</v>
      </c>
      <c r="H91" t="s">
        <v>92</v>
      </c>
      <c r="J91">
        <v>48.299242839999998</v>
      </c>
      <c r="K91">
        <v>10.13459591</v>
      </c>
      <c r="L91" t="s">
        <v>4</v>
      </c>
      <c r="M91">
        <v>0</v>
      </c>
      <c r="N91">
        <v>2.2385019999999999E-3</v>
      </c>
      <c r="O91">
        <v>1.3039785999999999E-2</v>
      </c>
      <c r="P91">
        <v>3.1948796000000002E-2</v>
      </c>
      <c r="Q91">
        <v>4.7327848999999998E-2</v>
      </c>
      <c r="R91">
        <v>6.5752162000000003E-2</v>
      </c>
      <c r="S91">
        <v>6.5752162000000003E-2</v>
      </c>
    </row>
    <row r="92" spans="1:19" x14ac:dyDescent="0.25">
      <c r="A92" t="s">
        <v>5</v>
      </c>
      <c r="B92" t="s">
        <v>88</v>
      </c>
      <c r="C92" t="s">
        <v>89</v>
      </c>
      <c r="D92" t="s">
        <v>3</v>
      </c>
      <c r="E92" t="s">
        <v>230</v>
      </c>
      <c r="F92" t="s">
        <v>231</v>
      </c>
      <c r="G92" t="s">
        <v>7</v>
      </c>
      <c r="H92" t="s">
        <v>92</v>
      </c>
      <c r="J92">
        <v>48.363993919999999</v>
      </c>
      <c r="K92">
        <v>9.9550238459999996</v>
      </c>
      <c r="L92" t="s">
        <v>4</v>
      </c>
      <c r="M92">
        <v>0</v>
      </c>
      <c r="N92">
        <v>3.411051E-3</v>
      </c>
      <c r="O92">
        <v>1.9870149E-2</v>
      </c>
      <c r="P92">
        <v>4.8683878999999999E-2</v>
      </c>
      <c r="Q92">
        <v>7.2118627000000005E-2</v>
      </c>
      <c r="R92">
        <v>0.100193771</v>
      </c>
      <c r="S92">
        <v>0.100193771</v>
      </c>
    </row>
    <row r="93" spans="1:19" x14ac:dyDescent="0.25">
      <c r="A93" t="s">
        <v>5</v>
      </c>
      <c r="B93" t="s">
        <v>88</v>
      </c>
      <c r="C93" t="s">
        <v>89</v>
      </c>
      <c r="D93" t="s">
        <v>3</v>
      </c>
      <c r="E93" t="s">
        <v>232</v>
      </c>
      <c r="F93" t="s">
        <v>233</v>
      </c>
      <c r="G93" t="s">
        <v>7</v>
      </c>
      <c r="H93" t="s">
        <v>92</v>
      </c>
      <c r="J93">
        <v>48.682666310000002</v>
      </c>
      <c r="K93">
        <v>9.6712464090000001</v>
      </c>
      <c r="L93" t="s">
        <v>4</v>
      </c>
      <c r="M93">
        <v>0</v>
      </c>
      <c r="N93">
        <v>3.8284780000000002E-3</v>
      </c>
      <c r="O93">
        <v>2.2301759000000001E-2</v>
      </c>
      <c r="P93">
        <v>5.4641569000000001E-2</v>
      </c>
      <c r="Q93">
        <v>8.0944144999999995E-2</v>
      </c>
      <c r="R93">
        <v>0.11245498299999999</v>
      </c>
      <c r="S93">
        <v>0.11245498299999999</v>
      </c>
    </row>
    <row r="94" spans="1:19" x14ac:dyDescent="0.25">
      <c r="A94" t="s">
        <v>5</v>
      </c>
      <c r="B94" t="s">
        <v>88</v>
      </c>
      <c r="C94" t="s">
        <v>89</v>
      </c>
      <c r="D94" t="s">
        <v>3</v>
      </c>
      <c r="E94" t="s">
        <v>234</v>
      </c>
      <c r="F94" t="s">
        <v>235</v>
      </c>
      <c r="G94" t="s">
        <v>7</v>
      </c>
      <c r="H94" t="s">
        <v>92</v>
      </c>
      <c r="J94">
        <v>48.692656929999998</v>
      </c>
      <c r="K94">
        <v>9.0629316150000001</v>
      </c>
      <c r="L94" t="s">
        <v>4</v>
      </c>
      <c r="M94">
        <v>0</v>
      </c>
      <c r="N94">
        <v>3.3470940000000001E-3</v>
      </c>
      <c r="O94">
        <v>1.9497583999999998E-2</v>
      </c>
      <c r="P94">
        <v>4.7771056999999999E-2</v>
      </c>
      <c r="Q94">
        <v>7.0766403000000005E-2</v>
      </c>
      <c r="R94">
        <v>9.8315136999999997E-2</v>
      </c>
      <c r="S94">
        <v>9.8315136999999997E-2</v>
      </c>
    </row>
    <row r="95" spans="1:19" x14ac:dyDescent="0.25">
      <c r="A95" t="s">
        <v>5</v>
      </c>
      <c r="B95" t="s">
        <v>88</v>
      </c>
      <c r="C95" t="s">
        <v>89</v>
      </c>
      <c r="D95" t="s">
        <v>3</v>
      </c>
      <c r="E95" t="s">
        <v>236</v>
      </c>
      <c r="F95" t="s">
        <v>237</v>
      </c>
      <c r="G95" t="s">
        <v>7</v>
      </c>
      <c r="H95" t="s">
        <v>92</v>
      </c>
      <c r="J95">
        <v>48.812675980000002</v>
      </c>
      <c r="K95">
        <v>9.2192278539999997</v>
      </c>
      <c r="L95" t="s">
        <v>4</v>
      </c>
      <c r="M95">
        <v>0</v>
      </c>
      <c r="N95">
        <v>8.5276280000000006E-3</v>
      </c>
      <c r="O95">
        <v>4.9675373000000002E-2</v>
      </c>
      <c r="P95">
        <v>0.121709699</v>
      </c>
      <c r="Q95">
        <v>0.18029656899999999</v>
      </c>
      <c r="R95">
        <v>0.25048442700000001</v>
      </c>
      <c r="S95">
        <v>0.25048442700000001</v>
      </c>
    </row>
    <row r="96" spans="1:19" x14ac:dyDescent="0.25">
      <c r="A96" t="s">
        <v>5</v>
      </c>
      <c r="B96" t="s">
        <v>88</v>
      </c>
      <c r="C96" t="s">
        <v>89</v>
      </c>
      <c r="D96" t="s">
        <v>3</v>
      </c>
      <c r="E96" t="s">
        <v>238</v>
      </c>
      <c r="F96" t="s">
        <v>239</v>
      </c>
      <c r="G96" t="s">
        <v>7</v>
      </c>
      <c r="H96" t="s">
        <v>92</v>
      </c>
      <c r="J96">
        <v>48.764951609999997</v>
      </c>
      <c r="K96">
        <v>11.49198625</v>
      </c>
      <c r="L96" t="s">
        <v>4</v>
      </c>
      <c r="M96">
        <v>0</v>
      </c>
      <c r="N96">
        <v>5.4363629999999996E-3</v>
      </c>
      <c r="O96">
        <v>3.1668051000000003E-2</v>
      </c>
      <c r="P96">
        <v>7.7589933E-2</v>
      </c>
      <c r="Q96">
        <v>0.11493906299999999</v>
      </c>
      <c r="R96">
        <v>0.159683822</v>
      </c>
      <c r="S96">
        <v>0.159683822</v>
      </c>
    </row>
    <row r="97" spans="1:19" x14ac:dyDescent="0.25">
      <c r="A97" t="s">
        <v>5</v>
      </c>
      <c r="B97" t="s">
        <v>88</v>
      </c>
      <c r="C97" t="s">
        <v>89</v>
      </c>
      <c r="D97" t="s">
        <v>3</v>
      </c>
      <c r="E97" t="s">
        <v>123</v>
      </c>
      <c r="F97" t="s">
        <v>124</v>
      </c>
      <c r="G97" t="s">
        <v>7</v>
      </c>
      <c r="H97" t="s">
        <v>92</v>
      </c>
      <c r="J97">
        <v>49.310909559999999</v>
      </c>
      <c r="K97">
        <v>12.085679600000001</v>
      </c>
      <c r="L97" t="s">
        <v>4</v>
      </c>
      <c r="M97">
        <v>0</v>
      </c>
      <c r="N97">
        <v>9.5935810000000003E-3</v>
      </c>
      <c r="O97">
        <v>5.5884795000000001E-2</v>
      </c>
      <c r="P97">
        <v>0.13692341099999999</v>
      </c>
      <c r="Q97">
        <v>0.20283364000000001</v>
      </c>
      <c r="R97">
        <v>0.28179497999999997</v>
      </c>
      <c r="S97">
        <v>0.28179497999999997</v>
      </c>
    </row>
    <row r="98" spans="1:19" x14ac:dyDescent="0.25">
      <c r="A98" t="s">
        <v>5</v>
      </c>
      <c r="B98" t="s">
        <v>88</v>
      </c>
      <c r="C98" t="s">
        <v>89</v>
      </c>
      <c r="D98" t="s">
        <v>3</v>
      </c>
      <c r="E98" t="s">
        <v>240</v>
      </c>
      <c r="F98" t="s">
        <v>241</v>
      </c>
      <c r="G98" t="s">
        <v>7</v>
      </c>
      <c r="H98" t="s">
        <v>92</v>
      </c>
      <c r="J98">
        <v>49.43652823</v>
      </c>
      <c r="K98">
        <v>11.055938429999999</v>
      </c>
      <c r="L98" t="s">
        <v>4</v>
      </c>
      <c r="M98">
        <v>0</v>
      </c>
      <c r="N98">
        <v>4.9137850000000004E-3</v>
      </c>
      <c r="O98">
        <v>2.8623919000000001E-2</v>
      </c>
      <c r="P98">
        <v>7.0131502999999998E-2</v>
      </c>
      <c r="Q98">
        <v>0.10389040099999999</v>
      </c>
      <c r="R98">
        <v>0.14433401400000001</v>
      </c>
      <c r="S98">
        <v>0.14433401400000001</v>
      </c>
    </row>
    <row r="99" spans="1:19" x14ac:dyDescent="0.25">
      <c r="A99" t="s">
        <v>5</v>
      </c>
      <c r="B99" t="s">
        <v>88</v>
      </c>
      <c r="C99" t="s">
        <v>89</v>
      </c>
      <c r="D99" t="s">
        <v>3</v>
      </c>
      <c r="E99" t="s">
        <v>242</v>
      </c>
      <c r="F99" t="s">
        <v>243</v>
      </c>
      <c r="G99" t="s">
        <v>7</v>
      </c>
      <c r="H99" t="s">
        <v>92</v>
      </c>
      <c r="J99">
        <v>49.48472941</v>
      </c>
      <c r="K99">
        <v>8.4277331459999996</v>
      </c>
      <c r="L99" t="s">
        <v>4</v>
      </c>
      <c r="M99">
        <v>0</v>
      </c>
      <c r="N99">
        <v>5.1165769999999998E-3</v>
      </c>
      <c r="O99">
        <v>2.9805224000000002E-2</v>
      </c>
      <c r="P99">
        <v>7.3025819000000006E-2</v>
      </c>
      <c r="Q99">
        <v>0.108177941</v>
      </c>
      <c r="R99">
        <v>0.15029065599999999</v>
      </c>
      <c r="S99">
        <v>0.15029065599999999</v>
      </c>
    </row>
    <row r="100" spans="1:19" x14ac:dyDescent="0.25">
      <c r="A100" t="s">
        <v>5</v>
      </c>
      <c r="B100" t="s">
        <v>88</v>
      </c>
      <c r="C100" t="s">
        <v>89</v>
      </c>
      <c r="D100" t="s">
        <v>3</v>
      </c>
      <c r="E100" t="s">
        <v>244</v>
      </c>
      <c r="F100" t="s">
        <v>245</v>
      </c>
      <c r="G100" t="s">
        <v>7</v>
      </c>
      <c r="H100" t="s">
        <v>92</v>
      </c>
      <c r="J100">
        <v>49.228362009999998</v>
      </c>
      <c r="K100">
        <v>7.5947836420000003</v>
      </c>
      <c r="L100" t="s">
        <v>4</v>
      </c>
      <c r="M100">
        <v>0</v>
      </c>
      <c r="N100">
        <v>3.837432E-3</v>
      </c>
      <c r="O100">
        <v>2.2353918E-2</v>
      </c>
      <c r="P100">
        <v>5.4769364000000001E-2</v>
      </c>
      <c r="Q100">
        <v>8.1133456000000007E-2</v>
      </c>
      <c r="R100">
        <v>0.112717992</v>
      </c>
      <c r="S100">
        <v>0.112717992</v>
      </c>
    </row>
    <row r="101" spans="1:19" x14ac:dyDescent="0.25">
      <c r="A101" t="s">
        <v>5</v>
      </c>
      <c r="B101" t="s">
        <v>88</v>
      </c>
      <c r="C101" t="s">
        <v>89</v>
      </c>
      <c r="D101" t="s">
        <v>3</v>
      </c>
      <c r="E101" t="s">
        <v>246</v>
      </c>
      <c r="F101" t="s">
        <v>247</v>
      </c>
      <c r="G101" t="s">
        <v>7</v>
      </c>
      <c r="H101" t="s">
        <v>92</v>
      </c>
      <c r="J101">
        <v>49.338381650000002</v>
      </c>
      <c r="K101">
        <v>7.1695241310000002</v>
      </c>
      <c r="L101" t="s">
        <v>4</v>
      </c>
      <c r="M101">
        <v>0</v>
      </c>
      <c r="N101">
        <v>3.837432E-3</v>
      </c>
      <c r="O101">
        <v>2.2353918E-2</v>
      </c>
      <c r="P101">
        <v>5.4769364000000001E-2</v>
      </c>
      <c r="Q101">
        <v>8.1133456000000007E-2</v>
      </c>
      <c r="R101">
        <v>0.112717992</v>
      </c>
      <c r="S101">
        <v>0.112717992</v>
      </c>
    </row>
    <row r="102" spans="1:19" x14ac:dyDescent="0.25">
      <c r="A102" t="s">
        <v>5</v>
      </c>
      <c r="B102" t="s">
        <v>88</v>
      </c>
      <c r="C102" t="s">
        <v>89</v>
      </c>
      <c r="D102" t="s">
        <v>3</v>
      </c>
      <c r="E102" t="s">
        <v>248</v>
      </c>
      <c r="F102" t="s">
        <v>249</v>
      </c>
      <c r="G102" t="s">
        <v>7</v>
      </c>
      <c r="H102" t="s">
        <v>92</v>
      </c>
      <c r="J102">
        <v>49.21418405</v>
      </c>
      <c r="K102">
        <v>6.8342256749999999</v>
      </c>
      <c r="L102" t="s">
        <v>4</v>
      </c>
      <c r="M102">
        <v>0</v>
      </c>
      <c r="N102">
        <v>5.4363629999999996E-3</v>
      </c>
      <c r="O102">
        <v>3.1668051000000003E-2</v>
      </c>
      <c r="P102">
        <v>7.7589933E-2</v>
      </c>
      <c r="Q102">
        <v>0.11493906299999999</v>
      </c>
      <c r="R102">
        <v>0.159683822</v>
      </c>
      <c r="S102">
        <v>0.159683822</v>
      </c>
    </row>
    <row r="103" spans="1:19" x14ac:dyDescent="0.25">
      <c r="A103" t="s">
        <v>5</v>
      </c>
      <c r="B103" t="s">
        <v>88</v>
      </c>
      <c r="C103" t="s">
        <v>89</v>
      </c>
      <c r="D103" t="s">
        <v>3</v>
      </c>
      <c r="E103" t="s">
        <v>250</v>
      </c>
      <c r="F103" t="s">
        <v>251</v>
      </c>
      <c r="G103" t="s">
        <v>7</v>
      </c>
      <c r="H103" t="s">
        <v>92</v>
      </c>
      <c r="J103">
        <v>49.524153130000002</v>
      </c>
      <c r="K103">
        <v>8.452034823</v>
      </c>
      <c r="L103" t="s">
        <v>4</v>
      </c>
      <c r="M103">
        <v>0</v>
      </c>
      <c r="N103">
        <v>1.4923347999999999E-2</v>
      </c>
      <c r="O103">
        <v>8.6931904000000004E-2</v>
      </c>
      <c r="P103">
        <v>0.212991972</v>
      </c>
      <c r="Q103">
        <v>0.31551899500000002</v>
      </c>
      <c r="R103">
        <v>0.43834774700000001</v>
      </c>
      <c r="S103">
        <v>0.43834774700000001</v>
      </c>
    </row>
    <row r="104" spans="1:19" x14ac:dyDescent="0.25">
      <c r="A104" t="s">
        <v>5</v>
      </c>
      <c r="B104" t="s">
        <v>88</v>
      </c>
      <c r="C104" t="s">
        <v>89</v>
      </c>
      <c r="D104" t="s">
        <v>3</v>
      </c>
      <c r="E104" t="s">
        <v>252</v>
      </c>
      <c r="F104" t="s">
        <v>253</v>
      </c>
      <c r="G104" t="s">
        <v>7</v>
      </c>
      <c r="H104" t="s">
        <v>92</v>
      </c>
      <c r="J104">
        <v>49.9112607</v>
      </c>
      <c r="K104">
        <v>10.8544523</v>
      </c>
      <c r="L104" t="s">
        <v>4</v>
      </c>
      <c r="M104">
        <v>0</v>
      </c>
      <c r="N104">
        <v>2.5445160000000001E-3</v>
      </c>
      <c r="O104">
        <v>1.4822386E-2</v>
      </c>
      <c r="P104">
        <v>3.6316347999999998E-2</v>
      </c>
      <c r="Q104">
        <v>5.3797791999999997E-2</v>
      </c>
      <c r="R104">
        <v>7.4740795999999998E-2</v>
      </c>
      <c r="S104">
        <v>7.4740795999999998E-2</v>
      </c>
    </row>
    <row r="105" spans="1:19" x14ac:dyDescent="0.25">
      <c r="A105" t="s">
        <v>5</v>
      </c>
      <c r="B105" t="s">
        <v>88</v>
      </c>
      <c r="C105" t="s">
        <v>89</v>
      </c>
      <c r="D105" t="s">
        <v>3</v>
      </c>
      <c r="E105" t="s">
        <v>254</v>
      </c>
      <c r="F105" t="s">
        <v>255</v>
      </c>
      <c r="G105" t="s">
        <v>7</v>
      </c>
      <c r="H105" t="s">
        <v>92</v>
      </c>
      <c r="J105">
        <v>50.284546259999999</v>
      </c>
      <c r="K105">
        <v>10.9548916</v>
      </c>
      <c r="L105" t="s">
        <v>4</v>
      </c>
      <c r="M105">
        <v>0</v>
      </c>
      <c r="N105">
        <v>3.0273079999999998E-3</v>
      </c>
      <c r="O105">
        <v>1.7634758E-2</v>
      </c>
      <c r="P105">
        <v>4.3206942999999998E-2</v>
      </c>
      <c r="Q105">
        <v>6.4005281999999997E-2</v>
      </c>
      <c r="R105">
        <v>8.8921971000000002E-2</v>
      </c>
      <c r="S105">
        <v>8.8921971000000002E-2</v>
      </c>
    </row>
    <row r="106" spans="1:19" x14ac:dyDescent="0.25">
      <c r="A106" t="s">
        <v>5</v>
      </c>
      <c r="B106" t="s">
        <v>88</v>
      </c>
      <c r="C106" t="s">
        <v>89</v>
      </c>
      <c r="D106" t="s">
        <v>3</v>
      </c>
      <c r="E106" t="s">
        <v>256</v>
      </c>
      <c r="F106" t="s">
        <v>257</v>
      </c>
      <c r="G106" t="s">
        <v>7</v>
      </c>
      <c r="H106" t="s">
        <v>92</v>
      </c>
      <c r="J106">
        <v>50.030026589999999</v>
      </c>
      <c r="K106">
        <v>10.22397774</v>
      </c>
      <c r="L106" t="s">
        <v>4</v>
      </c>
      <c r="M106">
        <v>0</v>
      </c>
      <c r="N106">
        <v>4.1742740000000004E-3</v>
      </c>
      <c r="O106">
        <v>2.4316094999999999E-2</v>
      </c>
      <c r="P106">
        <v>5.9576896999999997E-2</v>
      </c>
      <c r="Q106">
        <v>8.8255169999999994E-2</v>
      </c>
      <c r="R106">
        <v>0.122612127</v>
      </c>
      <c r="S106">
        <v>0.122612127</v>
      </c>
    </row>
    <row r="107" spans="1:19" x14ac:dyDescent="0.25">
      <c r="A107" t="s">
        <v>5</v>
      </c>
      <c r="B107" t="s">
        <v>88</v>
      </c>
      <c r="C107" t="s">
        <v>89</v>
      </c>
      <c r="D107" t="s">
        <v>3</v>
      </c>
      <c r="E107" t="s">
        <v>258</v>
      </c>
      <c r="F107" t="s">
        <v>259</v>
      </c>
      <c r="G107" t="s">
        <v>7</v>
      </c>
      <c r="H107" t="s">
        <v>92</v>
      </c>
      <c r="J107">
        <v>49.79306038</v>
      </c>
      <c r="K107">
        <v>9.9938927960000008</v>
      </c>
      <c r="L107" t="s">
        <v>4</v>
      </c>
      <c r="M107">
        <v>0</v>
      </c>
      <c r="N107">
        <v>4.2638140000000003E-3</v>
      </c>
      <c r="O107">
        <v>2.4837687000000001E-2</v>
      </c>
      <c r="P107">
        <v>6.0854849000000003E-2</v>
      </c>
      <c r="Q107">
        <v>9.0148283999999995E-2</v>
      </c>
      <c r="R107">
        <v>0.12524221299999999</v>
      </c>
      <c r="S107">
        <v>0.12524221299999999</v>
      </c>
    </row>
    <row r="108" spans="1:19" x14ac:dyDescent="0.25">
      <c r="A108" t="s">
        <v>5</v>
      </c>
      <c r="B108" t="s">
        <v>88</v>
      </c>
      <c r="C108" t="s">
        <v>89</v>
      </c>
      <c r="D108" t="s">
        <v>3</v>
      </c>
      <c r="E108" t="s">
        <v>260</v>
      </c>
      <c r="F108" t="s">
        <v>261</v>
      </c>
      <c r="G108" t="s">
        <v>7</v>
      </c>
      <c r="H108" t="s">
        <v>92</v>
      </c>
      <c r="J108">
        <v>50.065175170000003</v>
      </c>
      <c r="K108">
        <v>8.7686207950000004</v>
      </c>
      <c r="L108" t="s">
        <v>4</v>
      </c>
      <c r="M108">
        <v>0</v>
      </c>
      <c r="N108">
        <v>6.395721E-3</v>
      </c>
      <c r="O108">
        <v>3.7256530000000003E-2</v>
      </c>
      <c r="P108">
        <v>9.1282273999999997E-2</v>
      </c>
      <c r="Q108">
        <v>0.13522242700000001</v>
      </c>
      <c r="R108">
        <v>0.18786332</v>
      </c>
      <c r="S108">
        <v>0.18786332</v>
      </c>
    </row>
    <row r="109" spans="1:19" x14ac:dyDescent="0.25">
      <c r="A109" t="s">
        <v>5</v>
      </c>
      <c r="B109" t="s">
        <v>88</v>
      </c>
      <c r="C109" t="s">
        <v>89</v>
      </c>
      <c r="D109" t="s">
        <v>3</v>
      </c>
      <c r="E109" t="s">
        <v>262</v>
      </c>
      <c r="F109" t="s">
        <v>263</v>
      </c>
      <c r="G109" t="s">
        <v>7</v>
      </c>
      <c r="H109" t="s">
        <v>92</v>
      </c>
      <c r="J109">
        <v>50.161785950000002</v>
      </c>
      <c r="K109">
        <v>8.635333481</v>
      </c>
      <c r="L109" t="s">
        <v>4</v>
      </c>
      <c r="M109">
        <v>0</v>
      </c>
      <c r="N109">
        <v>1.4390372E-2</v>
      </c>
      <c r="O109">
        <v>8.3827192999999994E-2</v>
      </c>
      <c r="P109">
        <v>0.20538511600000001</v>
      </c>
      <c r="Q109">
        <v>0.30425046</v>
      </c>
      <c r="R109">
        <v>0.42269246999999999</v>
      </c>
      <c r="S109">
        <v>0.42269246999999999</v>
      </c>
    </row>
    <row r="110" spans="1:19" x14ac:dyDescent="0.25">
      <c r="A110" t="s">
        <v>5</v>
      </c>
      <c r="B110" t="s">
        <v>88</v>
      </c>
      <c r="C110" t="s">
        <v>89</v>
      </c>
      <c r="D110" t="s">
        <v>3</v>
      </c>
      <c r="E110" t="s">
        <v>113</v>
      </c>
      <c r="F110" t="s">
        <v>114</v>
      </c>
      <c r="G110" t="s">
        <v>7</v>
      </c>
      <c r="H110" t="s">
        <v>92</v>
      </c>
      <c r="J110">
        <v>50.02556878</v>
      </c>
      <c r="K110">
        <v>8.2429430860000004</v>
      </c>
      <c r="L110" t="s">
        <v>4</v>
      </c>
      <c r="M110">
        <v>0</v>
      </c>
      <c r="N110">
        <v>7.2484840000000004E-3</v>
      </c>
      <c r="O110">
        <v>4.2224066999999997E-2</v>
      </c>
      <c r="P110">
        <v>0.103453244</v>
      </c>
      <c r="Q110">
        <v>0.15325208300000001</v>
      </c>
      <c r="R110">
        <v>0.212911763</v>
      </c>
      <c r="S110">
        <v>0.212911763</v>
      </c>
    </row>
    <row r="111" spans="1:19" x14ac:dyDescent="0.25">
      <c r="A111" t="s">
        <v>5</v>
      </c>
      <c r="B111" t="s">
        <v>88</v>
      </c>
      <c r="C111" t="s">
        <v>89</v>
      </c>
      <c r="D111" t="s">
        <v>3</v>
      </c>
      <c r="E111" t="s">
        <v>113</v>
      </c>
      <c r="F111" t="s">
        <v>114</v>
      </c>
      <c r="G111" t="s">
        <v>7</v>
      </c>
      <c r="H111" t="s">
        <v>92</v>
      </c>
      <c r="J111">
        <v>50.042577919999999</v>
      </c>
      <c r="K111">
        <v>8.2625523960000002</v>
      </c>
      <c r="L111" t="s">
        <v>4</v>
      </c>
      <c r="M111">
        <v>0</v>
      </c>
      <c r="N111">
        <v>4.1572179999999999E-3</v>
      </c>
      <c r="O111">
        <v>2.4216745000000001E-2</v>
      </c>
      <c r="P111">
        <v>5.9333478000000002E-2</v>
      </c>
      <c r="Q111">
        <v>8.7894577000000002E-2</v>
      </c>
      <c r="R111">
        <v>0.122111158</v>
      </c>
      <c r="S111">
        <v>0.122111158</v>
      </c>
    </row>
    <row r="112" spans="1:19" x14ac:dyDescent="0.25">
      <c r="A112" t="s">
        <v>5</v>
      </c>
      <c r="B112" t="s">
        <v>88</v>
      </c>
      <c r="C112" t="s">
        <v>89</v>
      </c>
      <c r="D112" t="s">
        <v>3</v>
      </c>
      <c r="E112" t="s">
        <v>262</v>
      </c>
      <c r="F112" t="s">
        <v>263</v>
      </c>
      <c r="G112" t="s">
        <v>7</v>
      </c>
      <c r="H112" t="s">
        <v>92</v>
      </c>
      <c r="J112">
        <v>50.07995081</v>
      </c>
      <c r="K112">
        <v>8.5324263560000002</v>
      </c>
      <c r="L112" t="s">
        <v>4</v>
      </c>
      <c r="M112">
        <v>0</v>
      </c>
      <c r="N112">
        <v>1.4923347999999999E-2</v>
      </c>
      <c r="O112">
        <v>8.6931904000000004E-2</v>
      </c>
      <c r="P112">
        <v>0.212991972</v>
      </c>
      <c r="Q112">
        <v>0.31551899500000002</v>
      </c>
      <c r="R112">
        <v>0.43834774700000001</v>
      </c>
      <c r="S112">
        <v>0.43834774700000001</v>
      </c>
    </row>
    <row r="113" spans="1:19" x14ac:dyDescent="0.25">
      <c r="A113" t="s">
        <v>5</v>
      </c>
      <c r="B113" t="s">
        <v>88</v>
      </c>
      <c r="C113" t="s">
        <v>89</v>
      </c>
      <c r="D113" t="s">
        <v>3</v>
      </c>
      <c r="E113" t="s">
        <v>264</v>
      </c>
      <c r="F113" t="s">
        <v>265</v>
      </c>
      <c r="G113" t="s">
        <v>7</v>
      </c>
      <c r="H113" t="s">
        <v>92</v>
      </c>
      <c r="J113">
        <v>49.883550450000001</v>
      </c>
      <c r="K113">
        <v>8.6452617810000003</v>
      </c>
      <c r="L113" t="s">
        <v>4</v>
      </c>
      <c r="M113">
        <v>0</v>
      </c>
      <c r="N113">
        <v>4.5196400000000001E-4</v>
      </c>
      <c r="O113">
        <v>2.6327949999999998E-3</v>
      </c>
      <c r="P113">
        <v>6.4506140000000003E-3</v>
      </c>
      <c r="Q113">
        <v>9.5557179999999995E-3</v>
      </c>
      <c r="R113">
        <v>1.3275675000000001E-2</v>
      </c>
      <c r="S113">
        <v>1.3275675000000001E-2</v>
      </c>
    </row>
    <row r="114" spans="1:19" x14ac:dyDescent="0.25">
      <c r="A114" t="s">
        <v>5</v>
      </c>
      <c r="B114" t="s">
        <v>88</v>
      </c>
      <c r="C114" t="s">
        <v>89</v>
      </c>
      <c r="D114" t="s">
        <v>3</v>
      </c>
      <c r="E114" t="s">
        <v>266</v>
      </c>
      <c r="F114" t="s">
        <v>267</v>
      </c>
      <c r="G114" t="s">
        <v>7</v>
      </c>
      <c r="H114" t="s">
        <v>92</v>
      </c>
      <c r="J114">
        <v>50.686880760000001</v>
      </c>
      <c r="K114">
        <v>11.33025072</v>
      </c>
      <c r="L114" t="s">
        <v>4</v>
      </c>
      <c r="M114">
        <v>0</v>
      </c>
      <c r="N114">
        <v>1.705526E-3</v>
      </c>
      <c r="O114">
        <v>9.9350749999999998E-3</v>
      </c>
      <c r="P114">
        <v>2.4341939999999999E-2</v>
      </c>
      <c r="Q114">
        <v>3.6059314000000002E-2</v>
      </c>
      <c r="R114">
        <v>5.0096885000000001E-2</v>
      </c>
      <c r="S114">
        <v>5.0096885000000001E-2</v>
      </c>
    </row>
    <row r="115" spans="1:19" x14ac:dyDescent="0.25">
      <c r="A115" t="s">
        <v>5</v>
      </c>
      <c r="B115" t="s">
        <v>88</v>
      </c>
      <c r="C115" t="s">
        <v>89</v>
      </c>
      <c r="D115" t="s">
        <v>3</v>
      </c>
      <c r="E115" t="s">
        <v>268</v>
      </c>
      <c r="F115" t="s">
        <v>269</v>
      </c>
      <c r="G115" t="s">
        <v>7</v>
      </c>
      <c r="H115" t="s">
        <v>92</v>
      </c>
      <c r="J115">
        <v>50.638619630000001</v>
      </c>
      <c r="K115">
        <v>10.68675861</v>
      </c>
      <c r="L115" t="s">
        <v>4</v>
      </c>
      <c r="M115">
        <v>0</v>
      </c>
      <c r="N115">
        <v>3.411051E-3</v>
      </c>
      <c r="O115">
        <v>1.9870149E-2</v>
      </c>
      <c r="P115">
        <v>4.8683878999999999E-2</v>
      </c>
      <c r="Q115">
        <v>7.2118627000000005E-2</v>
      </c>
      <c r="R115">
        <v>0.100193771</v>
      </c>
      <c r="S115">
        <v>0.100193771</v>
      </c>
    </row>
    <row r="116" spans="1:19" x14ac:dyDescent="0.25">
      <c r="A116" t="s">
        <v>5</v>
      </c>
      <c r="B116" t="s">
        <v>88</v>
      </c>
      <c r="C116" t="s">
        <v>89</v>
      </c>
      <c r="D116" t="s">
        <v>3</v>
      </c>
      <c r="E116" t="s">
        <v>270</v>
      </c>
      <c r="F116" t="s">
        <v>271</v>
      </c>
      <c r="G116" t="s">
        <v>7</v>
      </c>
      <c r="H116" t="s">
        <v>92</v>
      </c>
      <c r="J116">
        <v>50.567930369999999</v>
      </c>
      <c r="K116">
        <v>8.6788467249999997</v>
      </c>
      <c r="L116" t="s">
        <v>4</v>
      </c>
      <c r="M116">
        <v>0</v>
      </c>
      <c r="N116">
        <v>1.108592E-3</v>
      </c>
      <c r="O116">
        <v>6.4577990000000002E-3</v>
      </c>
      <c r="P116">
        <v>1.5822261000000001E-2</v>
      </c>
      <c r="Q116">
        <v>2.3438554E-2</v>
      </c>
      <c r="R116">
        <v>3.2562975000000001E-2</v>
      </c>
      <c r="S116">
        <v>3.2562975000000001E-2</v>
      </c>
    </row>
    <row r="117" spans="1:19" x14ac:dyDescent="0.25">
      <c r="A117" t="s">
        <v>5</v>
      </c>
      <c r="B117" t="s">
        <v>88</v>
      </c>
      <c r="C117" t="s">
        <v>89</v>
      </c>
      <c r="D117" t="s">
        <v>3</v>
      </c>
      <c r="E117" t="s">
        <v>272</v>
      </c>
      <c r="F117" t="s">
        <v>273</v>
      </c>
      <c r="G117" t="s">
        <v>7</v>
      </c>
      <c r="H117" t="s">
        <v>92</v>
      </c>
      <c r="J117">
        <v>50.434591400000002</v>
      </c>
      <c r="K117">
        <v>7.4319558109999999</v>
      </c>
      <c r="L117" t="s">
        <v>4</v>
      </c>
      <c r="M117">
        <v>0</v>
      </c>
      <c r="N117">
        <v>2.98467E-3</v>
      </c>
      <c r="O117">
        <v>1.7386380999999999E-2</v>
      </c>
      <c r="P117">
        <v>4.2598393999999998E-2</v>
      </c>
      <c r="Q117">
        <v>6.3103799000000002E-2</v>
      </c>
      <c r="R117">
        <v>8.7669548999999999E-2</v>
      </c>
      <c r="S117">
        <v>8.7669548999999999E-2</v>
      </c>
    </row>
    <row r="118" spans="1:19" x14ac:dyDescent="0.25">
      <c r="A118" t="s">
        <v>5</v>
      </c>
      <c r="B118" t="s">
        <v>88</v>
      </c>
      <c r="C118" t="s">
        <v>89</v>
      </c>
      <c r="D118" t="s">
        <v>3</v>
      </c>
      <c r="E118" t="s">
        <v>274</v>
      </c>
      <c r="F118" t="s">
        <v>275</v>
      </c>
      <c r="G118" t="s">
        <v>7</v>
      </c>
      <c r="H118" t="s">
        <v>92</v>
      </c>
      <c r="J118">
        <v>51.019662080000003</v>
      </c>
      <c r="K118">
        <v>11.04083041</v>
      </c>
      <c r="L118" t="s">
        <v>4</v>
      </c>
      <c r="M118">
        <v>0</v>
      </c>
      <c r="N118">
        <v>1.5989299999999999E-3</v>
      </c>
      <c r="O118">
        <v>9.3141330000000005E-3</v>
      </c>
      <c r="P118">
        <v>2.2820567999999999E-2</v>
      </c>
      <c r="Q118">
        <v>3.3805607000000001E-2</v>
      </c>
      <c r="R118">
        <v>4.696583E-2</v>
      </c>
      <c r="S118">
        <v>4.696583E-2</v>
      </c>
    </row>
    <row r="119" spans="1:19" x14ac:dyDescent="0.25">
      <c r="A119" t="s">
        <v>5</v>
      </c>
      <c r="B119" t="s">
        <v>88</v>
      </c>
      <c r="C119" t="s">
        <v>89</v>
      </c>
      <c r="D119" t="s">
        <v>3</v>
      </c>
      <c r="E119" t="s">
        <v>276</v>
      </c>
      <c r="F119" t="s">
        <v>277</v>
      </c>
      <c r="G119" t="s">
        <v>7</v>
      </c>
      <c r="H119" t="s">
        <v>92</v>
      </c>
      <c r="J119">
        <v>50.893422319999999</v>
      </c>
      <c r="K119">
        <v>10.00017514</v>
      </c>
      <c r="L119" t="s">
        <v>4</v>
      </c>
      <c r="M119">
        <v>0</v>
      </c>
      <c r="N119">
        <v>6.344555E-3</v>
      </c>
      <c r="O119">
        <v>3.6958478000000003E-2</v>
      </c>
      <c r="P119">
        <v>9.0552015999999999E-2</v>
      </c>
      <c r="Q119">
        <v>0.134140647</v>
      </c>
      <c r="R119">
        <v>0.186360413</v>
      </c>
      <c r="S119">
        <v>0.186360413</v>
      </c>
    </row>
    <row r="120" spans="1:19" x14ac:dyDescent="0.25">
      <c r="A120" t="s">
        <v>5</v>
      </c>
      <c r="B120" t="s">
        <v>88</v>
      </c>
      <c r="C120" t="s">
        <v>89</v>
      </c>
      <c r="D120" t="s">
        <v>3</v>
      </c>
      <c r="E120" t="s">
        <v>278</v>
      </c>
      <c r="F120" t="s">
        <v>279</v>
      </c>
      <c r="G120" t="s">
        <v>7</v>
      </c>
      <c r="H120" t="s">
        <v>92</v>
      </c>
      <c r="J120">
        <v>50.73387829</v>
      </c>
      <c r="K120">
        <v>7.0774461679999998</v>
      </c>
      <c r="L120" t="s">
        <v>4</v>
      </c>
      <c r="M120">
        <v>0</v>
      </c>
      <c r="N120">
        <v>5.5429579999999997E-3</v>
      </c>
      <c r="O120">
        <v>3.2288993000000002E-2</v>
      </c>
      <c r="P120">
        <v>7.9111303999999993E-2</v>
      </c>
      <c r="Q120">
        <v>0.11719277</v>
      </c>
      <c r="R120">
        <v>0.162814877</v>
      </c>
      <c r="S120">
        <v>0.162814877</v>
      </c>
    </row>
    <row r="121" spans="1:19" x14ac:dyDescent="0.25">
      <c r="A121" t="s">
        <v>5</v>
      </c>
      <c r="B121" t="s">
        <v>88</v>
      </c>
      <c r="C121" t="s">
        <v>89</v>
      </c>
      <c r="D121" t="s">
        <v>3</v>
      </c>
      <c r="E121" t="s">
        <v>280</v>
      </c>
      <c r="F121" t="s">
        <v>281</v>
      </c>
      <c r="G121" t="s">
        <v>7</v>
      </c>
      <c r="H121" t="s">
        <v>92</v>
      </c>
      <c r="J121">
        <v>50.857043779999998</v>
      </c>
      <c r="K121">
        <v>6.8430443250000001</v>
      </c>
      <c r="L121" t="s">
        <v>4</v>
      </c>
      <c r="M121">
        <v>0</v>
      </c>
      <c r="N121">
        <v>6.822102E-3</v>
      </c>
      <c r="O121">
        <v>3.9740299E-2</v>
      </c>
      <c r="P121">
        <v>9.7367758999999998E-2</v>
      </c>
      <c r="Q121">
        <v>0.14423725500000001</v>
      </c>
      <c r="R121">
        <v>0.200387541</v>
      </c>
      <c r="S121">
        <v>0.200387541</v>
      </c>
    </row>
    <row r="122" spans="1:19" x14ac:dyDescent="0.25">
      <c r="A122" t="s">
        <v>5</v>
      </c>
      <c r="B122" t="s">
        <v>88</v>
      </c>
      <c r="C122" t="s">
        <v>89</v>
      </c>
      <c r="D122" t="s">
        <v>3</v>
      </c>
      <c r="E122" t="s">
        <v>282</v>
      </c>
      <c r="F122" t="s">
        <v>283</v>
      </c>
      <c r="G122" t="s">
        <v>7</v>
      </c>
      <c r="H122" t="s">
        <v>92</v>
      </c>
      <c r="J122">
        <v>50.840744149999999</v>
      </c>
      <c r="K122">
        <v>6.3146604079999999</v>
      </c>
      <c r="L122" t="s">
        <v>4</v>
      </c>
      <c r="M122">
        <v>0</v>
      </c>
      <c r="N122">
        <v>7.6748650000000003E-3</v>
      </c>
      <c r="O122">
        <v>4.4707836000000001E-2</v>
      </c>
      <c r="P122">
        <v>0.109538729</v>
      </c>
      <c r="Q122">
        <v>0.16226691200000001</v>
      </c>
      <c r="R122">
        <v>0.22543598400000001</v>
      </c>
      <c r="S122">
        <v>0.22543598400000001</v>
      </c>
    </row>
    <row r="123" spans="1:19" x14ac:dyDescent="0.25">
      <c r="A123" t="s">
        <v>5</v>
      </c>
      <c r="B123" t="s">
        <v>88</v>
      </c>
      <c r="C123" t="s">
        <v>89</v>
      </c>
      <c r="D123" t="s">
        <v>3</v>
      </c>
      <c r="E123" t="s">
        <v>284</v>
      </c>
      <c r="F123" t="s">
        <v>285</v>
      </c>
      <c r="G123" t="s">
        <v>7</v>
      </c>
      <c r="H123" t="s">
        <v>92</v>
      </c>
      <c r="J123">
        <v>51.000084209999997</v>
      </c>
      <c r="K123">
        <v>6.9410077780000004</v>
      </c>
      <c r="L123" t="s">
        <v>4</v>
      </c>
      <c r="M123">
        <v>0</v>
      </c>
      <c r="N123">
        <v>1.6735468999999999E-2</v>
      </c>
      <c r="O123">
        <v>9.7487920000000006E-2</v>
      </c>
      <c r="P123">
        <v>0.238855283</v>
      </c>
      <c r="Q123">
        <v>0.35383201600000003</v>
      </c>
      <c r="R123">
        <v>0.49157568699999998</v>
      </c>
      <c r="S123">
        <v>0.49157568699999998</v>
      </c>
    </row>
    <row r="124" spans="1:19" x14ac:dyDescent="0.25">
      <c r="A124" t="s">
        <v>5</v>
      </c>
      <c r="B124" t="s">
        <v>88</v>
      </c>
      <c r="C124" t="s">
        <v>89</v>
      </c>
      <c r="D124" t="s">
        <v>3</v>
      </c>
      <c r="E124" t="s">
        <v>286</v>
      </c>
      <c r="F124" t="s">
        <v>287</v>
      </c>
      <c r="G124" t="s">
        <v>7</v>
      </c>
      <c r="H124" t="s">
        <v>92</v>
      </c>
      <c r="J124">
        <v>51.043500209999998</v>
      </c>
      <c r="K124">
        <v>7.0033772010000002</v>
      </c>
      <c r="L124" t="s">
        <v>4</v>
      </c>
      <c r="M124">
        <v>0</v>
      </c>
      <c r="N124">
        <v>5.9761609999999998E-3</v>
      </c>
      <c r="O124">
        <v>3.4812502000000002E-2</v>
      </c>
      <c r="P124">
        <v>8.5294156999999995E-2</v>
      </c>
      <c r="Q124">
        <v>0.126351835</v>
      </c>
      <c r="R124">
        <v>0.17553948599999999</v>
      </c>
      <c r="S124">
        <v>0.17553948599999999</v>
      </c>
    </row>
    <row r="125" spans="1:19" x14ac:dyDescent="0.25">
      <c r="A125" t="s">
        <v>5</v>
      </c>
      <c r="B125" t="s">
        <v>88</v>
      </c>
      <c r="C125" t="s">
        <v>89</v>
      </c>
      <c r="D125" t="s">
        <v>3</v>
      </c>
      <c r="E125" t="s">
        <v>288</v>
      </c>
      <c r="F125" t="s">
        <v>289</v>
      </c>
      <c r="G125" t="s">
        <v>7</v>
      </c>
      <c r="H125" t="s">
        <v>92</v>
      </c>
      <c r="J125">
        <v>51.179356550000001</v>
      </c>
      <c r="K125">
        <v>7.0718129559999996</v>
      </c>
      <c r="L125" t="s">
        <v>4</v>
      </c>
      <c r="M125">
        <v>0</v>
      </c>
      <c r="N125">
        <v>3.7308369999999999E-3</v>
      </c>
      <c r="O125">
        <v>2.1732976000000001E-2</v>
      </c>
      <c r="P125">
        <v>5.3247993E-2</v>
      </c>
      <c r="Q125">
        <v>7.8879748999999999E-2</v>
      </c>
      <c r="R125">
        <v>0.109586937</v>
      </c>
      <c r="S125">
        <v>0.109586937</v>
      </c>
    </row>
    <row r="126" spans="1:19" x14ac:dyDescent="0.25">
      <c r="A126" t="s">
        <v>5</v>
      </c>
      <c r="B126" t="s">
        <v>88</v>
      </c>
      <c r="C126" t="s">
        <v>89</v>
      </c>
      <c r="D126" t="s">
        <v>3</v>
      </c>
      <c r="E126" t="s">
        <v>148</v>
      </c>
      <c r="F126" t="s">
        <v>149</v>
      </c>
      <c r="G126" t="s">
        <v>7</v>
      </c>
      <c r="H126" t="s">
        <v>92</v>
      </c>
      <c r="J126">
        <v>51.225158819999997</v>
      </c>
      <c r="K126">
        <v>7.1421867929999996</v>
      </c>
      <c r="L126" t="s">
        <v>4</v>
      </c>
      <c r="M126">
        <v>0</v>
      </c>
      <c r="N126">
        <v>9.1778169999999996E-3</v>
      </c>
      <c r="O126">
        <v>5.3462872000000002E-2</v>
      </c>
      <c r="P126">
        <v>0.130989455</v>
      </c>
      <c r="Q126">
        <v>0.19404328100000001</v>
      </c>
      <c r="R126">
        <v>0.269582612</v>
      </c>
      <c r="S126">
        <v>0.269582612</v>
      </c>
    </row>
    <row r="127" spans="1:19" x14ac:dyDescent="0.25">
      <c r="A127" t="s">
        <v>5</v>
      </c>
      <c r="B127" t="s">
        <v>88</v>
      </c>
      <c r="C127" t="s">
        <v>89</v>
      </c>
      <c r="D127" t="s">
        <v>3</v>
      </c>
      <c r="E127" t="s">
        <v>290</v>
      </c>
      <c r="F127" t="s">
        <v>291</v>
      </c>
      <c r="G127" t="s">
        <v>7</v>
      </c>
      <c r="H127" t="s">
        <v>92</v>
      </c>
      <c r="J127">
        <v>51.225213240000002</v>
      </c>
      <c r="K127">
        <v>6.8231294729999998</v>
      </c>
      <c r="L127" t="s">
        <v>4</v>
      </c>
      <c r="M127">
        <v>0</v>
      </c>
      <c r="N127">
        <v>9.5935810000000003E-3</v>
      </c>
      <c r="O127">
        <v>5.5884795000000001E-2</v>
      </c>
      <c r="P127">
        <v>0.13692341099999999</v>
      </c>
      <c r="Q127">
        <v>0.20283364000000001</v>
      </c>
      <c r="R127">
        <v>0.28179497999999997</v>
      </c>
      <c r="S127">
        <v>0.28179497999999997</v>
      </c>
    </row>
    <row r="128" spans="1:19" x14ac:dyDescent="0.25">
      <c r="A128" t="s">
        <v>5</v>
      </c>
      <c r="B128" t="s">
        <v>88</v>
      </c>
      <c r="C128" t="s">
        <v>89</v>
      </c>
      <c r="D128" t="s">
        <v>3</v>
      </c>
      <c r="E128" t="s">
        <v>168</v>
      </c>
      <c r="F128" t="s">
        <v>292</v>
      </c>
      <c r="G128" t="s">
        <v>7</v>
      </c>
      <c r="H128" t="s">
        <v>92</v>
      </c>
      <c r="J128">
        <v>51.397204600000002</v>
      </c>
      <c r="K128">
        <v>7.6966569219999998</v>
      </c>
      <c r="L128" t="s">
        <v>4</v>
      </c>
      <c r="M128">
        <v>0</v>
      </c>
      <c r="N128">
        <v>6.2891249999999996E-3</v>
      </c>
      <c r="O128">
        <v>3.6635587999999997E-2</v>
      </c>
      <c r="P128">
        <v>8.9760903000000003E-2</v>
      </c>
      <c r="Q128">
        <v>0.13296871900000001</v>
      </c>
      <c r="R128">
        <v>0.18473226500000001</v>
      </c>
      <c r="S128">
        <v>0.18473226500000001</v>
      </c>
    </row>
    <row r="129" spans="1:19" x14ac:dyDescent="0.25">
      <c r="A129" t="s">
        <v>5</v>
      </c>
      <c r="B129" t="s">
        <v>88</v>
      </c>
      <c r="C129" t="s">
        <v>89</v>
      </c>
      <c r="D129" t="s">
        <v>3</v>
      </c>
      <c r="E129" t="s">
        <v>293</v>
      </c>
      <c r="F129" t="s">
        <v>294</v>
      </c>
      <c r="G129" t="s">
        <v>7</v>
      </c>
      <c r="H129" t="s">
        <v>92</v>
      </c>
      <c r="J129">
        <v>51.377791610000003</v>
      </c>
      <c r="K129">
        <v>7.4708468669999997</v>
      </c>
      <c r="L129" t="s">
        <v>4</v>
      </c>
      <c r="M129">
        <v>0</v>
      </c>
      <c r="N129">
        <v>3.069946E-3</v>
      </c>
      <c r="O129">
        <v>1.7883133999999998E-2</v>
      </c>
      <c r="P129">
        <v>4.3815490999999998E-2</v>
      </c>
      <c r="Q129">
        <v>6.4906765000000005E-2</v>
      </c>
      <c r="R129">
        <v>9.0174394000000005E-2</v>
      </c>
      <c r="S129">
        <v>9.0174394000000005E-2</v>
      </c>
    </row>
    <row r="130" spans="1:19" x14ac:dyDescent="0.25">
      <c r="A130" t="s">
        <v>5</v>
      </c>
      <c r="B130" t="s">
        <v>88</v>
      </c>
      <c r="C130" t="s">
        <v>89</v>
      </c>
      <c r="D130" t="s">
        <v>3</v>
      </c>
      <c r="E130" t="s">
        <v>295</v>
      </c>
      <c r="F130" t="s">
        <v>296</v>
      </c>
      <c r="G130" t="s">
        <v>7</v>
      </c>
      <c r="H130" t="s">
        <v>92</v>
      </c>
      <c r="J130">
        <v>51.378956539999997</v>
      </c>
      <c r="K130">
        <v>6.6352114750000002</v>
      </c>
      <c r="L130" t="s">
        <v>4</v>
      </c>
      <c r="M130">
        <v>0</v>
      </c>
      <c r="N130">
        <v>3.7308369999999999E-3</v>
      </c>
      <c r="O130">
        <v>2.1732976000000001E-2</v>
      </c>
      <c r="P130">
        <v>5.3247993E-2</v>
      </c>
      <c r="Q130">
        <v>7.8879748999999999E-2</v>
      </c>
      <c r="R130">
        <v>0.109586937</v>
      </c>
      <c r="S130">
        <v>0.109586937</v>
      </c>
    </row>
    <row r="131" spans="1:19" x14ac:dyDescent="0.25">
      <c r="A131" t="s">
        <v>5</v>
      </c>
      <c r="B131" t="s">
        <v>88</v>
      </c>
      <c r="C131" t="s">
        <v>89</v>
      </c>
      <c r="D131" t="s">
        <v>3</v>
      </c>
      <c r="E131" t="s">
        <v>297</v>
      </c>
      <c r="F131" t="s">
        <v>298</v>
      </c>
      <c r="G131" t="s">
        <v>7</v>
      </c>
      <c r="H131" t="s">
        <v>92</v>
      </c>
      <c r="J131">
        <v>51.680548989999998</v>
      </c>
      <c r="K131">
        <v>7.7440984549999996</v>
      </c>
      <c r="L131" t="s">
        <v>4</v>
      </c>
      <c r="M131">
        <v>0</v>
      </c>
      <c r="N131">
        <v>6.2891249999999996E-3</v>
      </c>
      <c r="O131">
        <v>3.6635587999999997E-2</v>
      </c>
      <c r="P131">
        <v>8.9760903000000003E-2</v>
      </c>
      <c r="Q131">
        <v>0.13296871900000001</v>
      </c>
      <c r="R131">
        <v>0.18473226500000001</v>
      </c>
      <c r="S131">
        <v>0.18473226500000001</v>
      </c>
    </row>
    <row r="132" spans="1:19" x14ac:dyDescent="0.25">
      <c r="A132" t="s">
        <v>5</v>
      </c>
      <c r="B132" t="s">
        <v>88</v>
      </c>
      <c r="C132" t="s">
        <v>89</v>
      </c>
      <c r="D132" t="s">
        <v>3</v>
      </c>
      <c r="E132" t="s">
        <v>299</v>
      </c>
      <c r="F132" t="s">
        <v>300</v>
      </c>
      <c r="G132" t="s">
        <v>7</v>
      </c>
      <c r="H132" t="s">
        <v>92</v>
      </c>
      <c r="J132">
        <v>51.556850369999999</v>
      </c>
      <c r="K132">
        <v>7.1675268279999997</v>
      </c>
      <c r="L132" t="s">
        <v>4</v>
      </c>
      <c r="M132">
        <v>0</v>
      </c>
      <c r="N132">
        <v>1.2791441000000001E-2</v>
      </c>
      <c r="O132">
        <v>7.4513060000000006E-2</v>
      </c>
      <c r="P132">
        <v>0.18256454799999999</v>
      </c>
      <c r="Q132">
        <v>0.27044485299999999</v>
      </c>
      <c r="R132">
        <v>0.37572664</v>
      </c>
      <c r="S132">
        <v>0.37572664</v>
      </c>
    </row>
    <row r="133" spans="1:19" x14ac:dyDescent="0.25">
      <c r="A133" t="s">
        <v>5</v>
      </c>
      <c r="B133" t="s">
        <v>88</v>
      </c>
      <c r="C133" t="s">
        <v>89</v>
      </c>
      <c r="D133" t="s">
        <v>3</v>
      </c>
      <c r="E133" t="s">
        <v>301</v>
      </c>
      <c r="F133" t="s">
        <v>302</v>
      </c>
      <c r="G133" t="s">
        <v>7</v>
      </c>
      <c r="H133" t="s">
        <v>92</v>
      </c>
      <c r="J133">
        <v>51.51560233</v>
      </c>
      <c r="K133">
        <v>6.9939033989999997</v>
      </c>
      <c r="L133" t="s">
        <v>4</v>
      </c>
      <c r="M133">
        <v>0</v>
      </c>
      <c r="N133">
        <v>1.5882706999999999E-2</v>
      </c>
      <c r="O133">
        <v>9.2520382999999998E-2</v>
      </c>
      <c r="P133">
        <v>0.226684314</v>
      </c>
      <c r="Q133">
        <v>0.33580235899999999</v>
      </c>
      <c r="R133">
        <v>0.46652724499999998</v>
      </c>
      <c r="S133">
        <v>0.46652724499999998</v>
      </c>
    </row>
    <row r="134" spans="1:19" x14ac:dyDescent="0.25">
      <c r="A134" t="s">
        <v>5</v>
      </c>
      <c r="B134" t="s">
        <v>88</v>
      </c>
      <c r="C134" t="s">
        <v>89</v>
      </c>
      <c r="D134" t="s">
        <v>3</v>
      </c>
      <c r="E134" t="s">
        <v>303</v>
      </c>
      <c r="F134" t="s">
        <v>304</v>
      </c>
      <c r="G134" t="s">
        <v>7</v>
      </c>
      <c r="H134" t="s">
        <v>92</v>
      </c>
      <c r="J134">
        <v>51.485149309999997</v>
      </c>
      <c r="K134">
        <v>6.8342344500000003</v>
      </c>
      <c r="L134" t="s">
        <v>4</v>
      </c>
      <c r="M134">
        <v>0</v>
      </c>
      <c r="N134">
        <v>1.4923347999999999E-2</v>
      </c>
      <c r="O134">
        <v>8.6931904000000004E-2</v>
      </c>
      <c r="P134">
        <v>0.212991972</v>
      </c>
      <c r="Q134">
        <v>0.31551899500000002</v>
      </c>
      <c r="R134">
        <v>0.43834774700000001</v>
      </c>
      <c r="S134">
        <v>0.43834774700000001</v>
      </c>
    </row>
    <row r="135" spans="1:19" x14ac:dyDescent="0.25">
      <c r="A135" t="s">
        <v>5</v>
      </c>
      <c r="B135" t="s">
        <v>88</v>
      </c>
      <c r="C135" t="s">
        <v>89</v>
      </c>
      <c r="D135" t="s">
        <v>3</v>
      </c>
      <c r="E135" t="s">
        <v>305</v>
      </c>
      <c r="F135" t="s">
        <v>306</v>
      </c>
      <c r="G135" t="s">
        <v>7</v>
      </c>
      <c r="H135" t="s">
        <v>92</v>
      </c>
      <c r="J135">
        <v>51.52172161</v>
      </c>
      <c r="K135">
        <v>6.5743393960000001</v>
      </c>
      <c r="L135" t="s">
        <v>4</v>
      </c>
      <c r="M135">
        <v>0</v>
      </c>
      <c r="N135">
        <v>5.7561490000000003E-3</v>
      </c>
      <c r="O135">
        <v>3.3530877000000001E-2</v>
      </c>
      <c r="P135">
        <v>8.2154046999999994E-2</v>
      </c>
      <c r="Q135">
        <v>0.121700184</v>
      </c>
      <c r="R135">
        <v>0.16907698800000001</v>
      </c>
      <c r="S135">
        <v>0.16907698800000001</v>
      </c>
    </row>
    <row r="136" spans="1:19" x14ac:dyDescent="0.25">
      <c r="A136" t="s">
        <v>5</v>
      </c>
      <c r="B136" t="s">
        <v>88</v>
      </c>
      <c r="C136" t="s">
        <v>89</v>
      </c>
      <c r="D136" t="s">
        <v>3</v>
      </c>
      <c r="E136" t="s">
        <v>307</v>
      </c>
      <c r="F136" t="s">
        <v>308</v>
      </c>
      <c r="G136" t="s">
        <v>7</v>
      </c>
      <c r="H136" t="s">
        <v>92</v>
      </c>
      <c r="J136">
        <v>52.042676559999997</v>
      </c>
      <c r="K136">
        <v>8.607725426</v>
      </c>
      <c r="L136" t="s">
        <v>4</v>
      </c>
      <c r="M136">
        <v>0</v>
      </c>
      <c r="N136">
        <v>8.5276280000000006E-3</v>
      </c>
      <c r="O136">
        <v>4.9675373000000002E-2</v>
      </c>
      <c r="P136">
        <v>0.121709699</v>
      </c>
      <c r="Q136">
        <v>0.18029656899999999</v>
      </c>
      <c r="R136">
        <v>0.25048442700000001</v>
      </c>
      <c r="S136">
        <v>0.25048442700000001</v>
      </c>
    </row>
    <row r="137" spans="1:19" x14ac:dyDescent="0.25">
      <c r="A137" t="s">
        <v>5</v>
      </c>
      <c r="B137" t="s">
        <v>88</v>
      </c>
      <c r="C137" t="s">
        <v>89</v>
      </c>
      <c r="D137" t="s">
        <v>3</v>
      </c>
      <c r="E137" t="s">
        <v>309</v>
      </c>
      <c r="F137" t="s">
        <v>310</v>
      </c>
      <c r="G137" t="s">
        <v>7</v>
      </c>
      <c r="H137" t="s">
        <v>92</v>
      </c>
      <c r="J137">
        <v>52.300836689999997</v>
      </c>
      <c r="K137">
        <v>8.9493251590000007</v>
      </c>
      <c r="L137" t="s">
        <v>4</v>
      </c>
      <c r="M137">
        <v>0</v>
      </c>
      <c r="N137">
        <v>8.5276280000000006E-3</v>
      </c>
      <c r="O137">
        <v>4.9675373000000002E-2</v>
      </c>
      <c r="P137">
        <v>0.121709699</v>
      </c>
      <c r="Q137">
        <v>0.18029656899999999</v>
      </c>
      <c r="R137">
        <v>0.25048442700000001</v>
      </c>
      <c r="S137">
        <v>0.25048442700000001</v>
      </c>
    </row>
    <row r="138" spans="1:19" x14ac:dyDescent="0.25">
      <c r="A138" t="s">
        <v>5</v>
      </c>
      <c r="B138" t="s">
        <v>88</v>
      </c>
      <c r="C138" t="s">
        <v>89</v>
      </c>
      <c r="D138" t="s">
        <v>3</v>
      </c>
      <c r="E138" t="s">
        <v>170</v>
      </c>
      <c r="F138" t="s">
        <v>171</v>
      </c>
      <c r="G138" t="s">
        <v>7</v>
      </c>
      <c r="H138" t="s">
        <v>92</v>
      </c>
      <c r="J138">
        <v>52.098190780000003</v>
      </c>
      <c r="K138">
        <v>9.3862909299999995</v>
      </c>
      <c r="L138" t="s">
        <v>4</v>
      </c>
      <c r="M138">
        <v>0</v>
      </c>
      <c r="N138">
        <v>7.4616739999999997E-3</v>
      </c>
      <c r="O138">
        <v>4.3465952000000002E-2</v>
      </c>
      <c r="P138">
        <v>0.106495986</v>
      </c>
      <c r="Q138">
        <v>0.157759498</v>
      </c>
      <c r="R138">
        <v>0.21917387299999999</v>
      </c>
      <c r="S138">
        <v>0.21917387299999999</v>
      </c>
    </row>
    <row r="139" spans="1:19" x14ac:dyDescent="0.25">
      <c r="A139" t="s">
        <v>5</v>
      </c>
      <c r="B139" t="s">
        <v>88</v>
      </c>
      <c r="C139" t="s">
        <v>89</v>
      </c>
      <c r="D139" t="s">
        <v>3</v>
      </c>
      <c r="E139" t="s">
        <v>103</v>
      </c>
      <c r="F139" t="s">
        <v>104</v>
      </c>
      <c r="G139" t="s">
        <v>7</v>
      </c>
      <c r="H139" t="s">
        <v>92</v>
      </c>
      <c r="J139">
        <v>52.411837230000003</v>
      </c>
      <c r="K139">
        <v>9.8534918190000003</v>
      </c>
      <c r="L139" t="s">
        <v>4</v>
      </c>
      <c r="M139">
        <v>0</v>
      </c>
      <c r="N139">
        <v>6.395721E-3</v>
      </c>
      <c r="O139">
        <v>3.7256530000000003E-2</v>
      </c>
      <c r="P139">
        <v>9.1282273999999997E-2</v>
      </c>
      <c r="Q139">
        <v>0.13522242700000001</v>
      </c>
      <c r="R139">
        <v>0.18786332</v>
      </c>
      <c r="S139">
        <v>0.18786332</v>
      </c>
    </row>
    <row r="140" spans="1:19" x14ac:dyDescent="0.25">
      <c r="A140" t="s">
        <v>5</v>
      </c>
      <c r="B140" t="s">
        <v>88</v>
      </c>
      <c r="C140" t="s">
        <v>89</v>
      </c>
      <c r="D140" t="s">
        <v>3</v>
      </c>
      <c r="E140" t="s">
        <v>311</v>
      </c>
      <c r="F140" t="s">
        <v>312</v>
      </c>
      <c r="G140" t="s">
        <v>7</v>
      </c>
      <c r="H140" t="s">
        <v>92</v>
      </c>
      <c r="J140">
        <v>52.223607170000001</v>
      </c>
      <c r="K140">
        <v>11.00983684</v>
      </c>
      <c r="L140" t="s">
        <v>4</v>
      </c>
      <c r="M140">
        <v>0</v>
      </c>
      <c r="N140">
        <v>1.1192511E-2</v>
      </c>
      <c r="O140">
        <v>6.5198928000000003E-2</v>
      </c>
      <c r="P140">
        <v>0.15974397900000001</v>
      </c>
      <c r="Q140">
        <v>0.236639246</v>
      </c>
      <c r="R140">
        <v>0.32876081000000001</v>
      </c>
      <c r="S140">
        <v>0.32876081000000001</v>
      </c>
    </row>
    <row r="141" spans="1:19" x14ac:dyDescent="0.25">
      <c r="A141" t="s">
        <v>5</v>
      </c>
      <c r="B141" t="s">
        <v>88</v>
      </c>
      <c r="C141" t="s">
        <v>89</v>
      </c>
      <c r="D141" t="s">
        <v>3</v>
      </c>
      <c r="E141" t="s">
        <v>313</v>
      </c>
      <c r="F141" t="s">
        <v>314</v>
      </c>
      <c r="G141" t="s">
        <v>7</v>
      </c>
      <c r="H141" t="s">
        <v>92</v>
      </c>
      <c r="J141">
        <v>51.315518419999997</v>
      </c>
      <c r="K141">
        <v>9.5285438229999997</v>
      </c>
      <c r="L141" t="s">
        <v>4</v>
      </c>
      <c r="M141">
        <v>0</v>
      </c>
      <c r="N141">
        <v>5.4576820000000002E-3</v>
      </c>
      <c r="O141">
        <v>3.1792239E-2</v>
      </c>
      <c r="P141">
        <v>7.7894206999999993E-2</v>
      </c>
      <c r="Q141">
        <v>0.115389804</v>
      </c>
      <c r="R141">
        <v>0.16031003299999999</v>
      </c>
      <c r="S141">
        <v>0.16031003299999999</v>
      </c>
    </row>
    <row r="142" spans="1:19" x14ac:dyDescent="0.25">
      <c r="A142" t="s">
        <v>5</v>
      </c>
      <c r="B142" t="s">
        <v>88</v>
      </c>
      <c r="C142" t="s">
        <v>89</v>
      </c>
      <c r="D142" t="s">
        <v>3</v>
      </c>
      <c r="E142" t="s">
        <v>184</v>
      </c>
      <c r="F142" t="s">
        <v>315</v>
      </c>
      <c r="G142" t="s">
        <v>7</v>
      </c>
      <c r="H142" t="s">
        <v>92</v>
      </c>
      <c r="J142">
        <v>51.318295470000002</v>
      </c>
      <c r="K142">
        <v>9.8488889969999995</v>
      </c>
      <c r="L142" t="s">
        <v>4</v>
      </c>
      <c r="M142">
        <v>0</v>
      </c>
      <c r="N142">
        <v>7.0352929999999998E-3</v>
      </c>
      <c r="O142">
        <v>4.0982182999999998E-2</v>
      </c>
      <c r="P142">
        <v>0.100410501</v>
      </c>
      <c r="Q142">
        <v>0.148744669</v>
      </c>
      <c r="R142">
        <v>0.20664965199999999</v>
      </c>
      <c r="S142">
        <v>0.20664965199999999</v>
      </c>
    </row>
    <row r="143" spans="1:19" x14ac:dyDescent="0.25">
      <c r="A143" t="s">
        <v>5</v>
      </c>
      <c r="B143" t="s">
        <v>88</v>
      </c>
      <c r="C143" t="s">
        <v>89</v>
      </c>
      <c r="D143" t="s">
        <v>3</v>
      </c>
      <c r="E143" t="s">
        <v>316</v>
      </c>
      <c r="F143" t="s">
        <v>317</v>
      </c>
      <c r="G143" t="s">
        <v>7</v>
      </c>
      <c r="H143" t="s">
        <v>92</v>
      </c>
      <c r="J143">
        <v>52.185109670000003</v>
      </c>
      <c r="K143">
        <v>11.677096819999999</v>
      </c>
      <c r="L143" t="s">
        <v>4</v>
      </c>
      <c r="M143">
        <v>0</v>
      </c>
      <c r="N143">
        <v>1.3857395E-2</v>
      </c>
      <c r="O143">
        <v>8.0722481999999998E-2</v>
      </c>
      <c r="P143">
        <v>0.19777826000000001</v>
      </c>
      <c r="Q143">
        <v>0.292981924</v>
      </c>
      <c r="R143">
        <v>0.40703719300000002</v>
      </c>
      <c r="S143">
        <v>0.40703719300000002</v>
      </c>
    </row>
    <row r="144" spans="1:19" x14ac:dyDescent="0.25">
      <c r="A144" t="s">
        <v>5</v>
      </c>
      <c r="B144" t="s">
        <v>88</v>
      </c>
      <c r="C144" t="s">
        <v>89</v>
      </c>
      <c r="D144" t="s">
        <v>3</v>
      </c>
      <c r="E144" t="s">
        <v>133</v>
      </c>
      <c r="F144" t="s">
        <v>134</v>
      </c>
      <c r="G144" t="s">
        <v>7</v>
      </c>
      <c r="H144" t="s">
        <v>92</v>
      </c>
      <c r="J144">
        <v>51.866047850000001</v>
      </c>
      <c r="K144">
        <v>11.57611764</v>
      </c>
      <c r="L144" t="s">
        <v>4</v>
      </c>
      <c r="M144">
        <v>0</v>
      </c>
      <c r="N144">
        <v>8.1012459999999994E-3</v>
      </c>
      <c r="O144">
        <v>4.7191604999999998E-2</v>
      </c>
      <c r="P144">
        <v>0.115624214</v>
      </c>
      <c r="Q144">
        <v>0.17128173999999999</v>
      </c>
      <c r="R144">
        <v>0.23796020500000001</v>
      </c>
      <c r="S144">
        <v>0.23796020500000001</v>
      </c>
    </row>
    <row r="145" spans="1:19" x14ac:dyDescent="0.25">
      <c r="A145" t="s">
        <v>5</v>
      </c>
      <c r="B145" t="s">
        <v>88</v>
      </c>
      <c r="C145" t="s">
        <v>89</v>
      </c>
      <c r="D145" t="s">
        <v>3</v>
      </c>
      <c r="E145" t="s">
        <v>133</v>
      </c>
      <c r="F145" t="s">
        <v>134</v>
      </c>
      <c r="G145" t="s">
        <v>7</v>
      </c>
      <c r="H145" t="s">
        <v>92</v>
      </c>
      <c r="J145">
        <v>51.801934289999998</v>
      </c>
      <c r="K145">
        <v>11.7580533</v>
      </c>
      <c r="L145" t="s">
        <v>4</v>
      </c>
      <c r="M145">
        <v>0</v>
      </c>
      <c r="N145">
        <v>1.0233153E-2</v>
      </c>
      <c r="O145">
        <v>5.9610448000000003E-2</v>
      </c>
      <c r="P145">
        <v>0.14605163800000001</v>
      </c>
      <c r="Q145">
        <v>0.216355882</v>
      </c>
      <c r="R145">
        <v>0.30058131199999999</v>
      </c>
      <c r="S145">
        <v>0.30058131199999999</v>
      </c>
    </row>
    <row r="146" spans="1:19" x14ac:dyDescent="0.25">
      <c r="A146" t="s">
        <v>5</v>
      </c>
      <c r="B146" t="s">
        <v>88</v>
      </c>
      <c r="C146" t="s">
        <v>89</v>
      </c>
      <c r="D146" t="s">
        <v>3</v>
      </c>
      <c r="E146" t="s">
        <v>318</v>
      </c>
      <c r="F146" t="s">
        <v>319</v>
      </c>
      <c r="G146" t="s">
        <v>7</v>
      </c>
      <c r="H146" t="s">
        <v>92</v>
      </c>
      <c r="J146">
        <v>51.461989629999998</v>
      </c>
      <c r="K146">
        <v>11.7182531</v>
      </c>
      <c r="L146" t="s">
        <v>4</v>
      </c>
      <c r="M146">
        <v>0</v>
      </c>
      <c r="N146">
        <v>2.5582880000000001E-3</v>
      </c>
      <c r="O146">
        <v>1.4902612000000001E-2</v>
      </c>
      <c r="P146">
        <v>3.6512910000000003E-2</v>
      </c>
      <c r="Q146">
        <v>5.4088971E-2</v>
      </c>
      <c r="R146">
        <v>7.5145327999999997E-2</v>
      </c>
      <c r="S146">
        <v>7.5145327999999997E-2</v>
      </c>
    </row>
    <row r="147" spans="1:19" x14ac:dyDescent="0.25">
      <c r="A147" t="s">
        <v>5</v>
      </c>
      <c r="B147" t="s">
        <v>88</v>
      </c>
      <c r="C147" t="s">
        <v>89</v>
      </c>
      <c r="D147" t="s">
        <v>3</v>
      </c>
      <c r="E147" t="s">
        <v>320</v>
      </c>
      <c r="F147" t="s">
        <v>321</v>
      </c>
      <c r="G147" t="s">
        <v>7</v>
      </c>
      <c r="H147" t="s">
        <v>92</v>
      </c>
      <c r="J147">
        <v>51.629952979999999</v>
      </c>
      <c r="K147">
        <v>12.288818210000001</v>
      </c>
      <c r="L147" t="s">
        <v>4</v>
      </c>
      <c r="M147">
        <v>0</v>
      </c>
      <c r="N147">
        <v>2.7714789999999999E-3</v>
      </c>
      <c r="O147">
        <v>1.6144496000000001E-2</v>
      </c>
      <c r="P147">
        <v>3.9555651999999997E-2</v>
      </c>
      <c r="Q147">
        <v>5.8596385000000001E-2</v>
      </c>
      <c r="R147">
        <v>8.1407438999999998E-2</v>
      </c>
      <c r="S147">
        <v>8.1407438999999998E-2</v>
      </c>
    </row>
    <row r="148" spans="1:19" x14ac:dyDescent="0.25">
      <c r="A148" t="s">
        <v>5</v>
      </c>
      <c r="B148" t="s">
        <v>88</v>
      </c>
      <c r="C148" t="s">
        <v>89</v>
      </c>
      <c r="D148" t="s">
        <v>3</v>
      </c>
      <c r="E148" t="s">
        <v>320</v>
      </c>
      <c r="F148" t="s">
        <v>321</v>
      </c>
      <c r="G148" t="s">
        <v>7</v>
      </c>
      <c r="H148" t="s">
        <v>92</v>
      </c>
      <c r="J148">
        <v>51.636746700000003</v>
      </c>
      <c r="K148">
        <v>12.227384430000001</v>
      </c>
      <c r="L148" t="s">
        <v>4</v>
      </c>
      <c r="M148">
        <v>0</v>
      </c>
      <c r="N148">
        <v>6.3976179999999999E-3</v>
      </c>
      <c r="O148">
        <v>3.7267583999999999E-2</v>
      </c>
      <c r="P148">
        <v>9.1309357999999993E-2</v>
      </c>
      <c r="Q148">
        <v>0.13526254700000001</v>
      </c>
      <c r="R148">
        <v>0.18791906</v>
      </c>
      <c r="S148">
        <v>0.18791906</v>
      </c>
    </row>
    <row r="149" spans="1:19" x14ac:dyDescent="0.25">
      <c r="A149" t="s">
        <v>5</v>
      </c>
      <c r="B149" t="s">
        <v>88</v>
      </c>
      <c r="C149" t="s">
        <v>89</v>
      </c>
      <c r="D149" t="s">
        <v>3</v>
      </c>
      <c r="E149" t="s">
        <v>322</v>
      </c>
      <c r="F149" t="s">
        <v>323</v>
      </c>
      <c r="G149" t="s">
        <v>7</v>
      </c>
      <c r="H149" t="s">
        <v>92</v>
      </c>
      <c r="J149">
        <v>51.325433420000003</v>
      </c>
      <c r="K149">
        <v>11.99531919</v>
      </c>
      <c r="L149" t="s">
        <v>4</v>
      </c>
      <c r="M149">
        <v>0</v>
      </c>
      <c r="N149">
        <v>8.1012459999999994E-3</v>
      </c>
      <c r="O149">
        <v>4.7191604999999998E-2</v>
      </c>
      <c r="P149">
        <v>0.115624214</v>
      </c>
      <c r="Q149">
        <v>0.17128173999999999</v>
      </c>
      <c r="R149">
        <v>0.23796020500000001</v>
      </c>
      <c r="S149">
        <v>0.23796020500000001</v>
      </c>
    </row>
    <row r="150" spans="1:19" x14ac:dyDescent="0.25">
      <c r="A150" t="s">
        <v>5</v>
      </c>
      <c r="B150" t="s">
        <v>88</v>
      </c>
      <c r="C150" t="s">
        <v>89</v>
      </c>
      <c r="D150" t="s">
        <v>3</v>
      </c>
      <c r="E150" t="s">
        <v>135</v>
      </c>
      <c r="F150" t="s">
        <v>136</v>
      </c>
      <c r="G150" t="s">
        <v>7</v>
      </c>
      <c r="H150" t="s">
        <v>92</v>
      </c>
      <c r="J150">
        <v>51.181517220000003</v>
      </c>
      <c r="K150">
        <v>12.01915262</v>
      </c>
      <c r="L150" t="s">
        <v>4</v>
      </c>
      <c r="M150">
        <v>0</v>
      </c>
      <c r="N150">
        <v>7.2058449999999998E-3</v>
      </c>
      <c r="O150">
        <v>4.1975691000000002E-2</v>
      </c>
      <c r="P150">
        <v>0.102844695</v>
      </c>
      <c r="Q150">
        <v>0.152350601</v>
      </c>
      <c r="R150">
        <v>0.21165934</v>
      </c>
      <c r="S150">
        <v>0.21165934</v>
      </c>
    </row>
    <row r="151" spans="1:19" x14ac:dyDescent="0.25">
      <c r="A151" t="s">
        <v>5</v>
      </c>
      <c r="B151" t="s">
        <v>88</v>
      </c>
      <c r="C151" t="s">
        <v>89</v>
      </c>
      <c r="D151" t="s">
        <v>3</v>
      </c>
      <c r="E151" t="s">
        <v>324</v>
      </c>
      <c r="F151" t="s">
        <v>325</v>
      </c>
      <c r="G151" t="s">
        <v>7</v>
      </c>
      <c r="H151" t="s">
        <v>92</v>
      </c>
      <c r="J151">
        <v>52.527303930000002</v>
      </c>
      <c r="K151">
        <v>12.35972664</v>
      </c>
      <c r="L151" t="s">
        <v>4</v>
      </c>
      <c r="M151">
        <v>0</v>
      </c>
      <c r="N151">
        <v>6.8434209999999997E-3</v>
      </c>
      <c r="O151">
        <v>3.9864486999999997E-2</v>
      </c>
      <c r="P151">
        <v>9.7672033000000005E-2</v>
      </c>
      <c r="Q151">
        <v>0.14468799600000001</v>
      </c>
      <c r="R151">
        <v>0.20101375199999999</v>
      </c>
      <c r="S151">
        <v>0.20101375199999999</v>
      </c>
    </row>
    <row r="152" spans="1:19" x14ac:dyDescent="0.25">
      <c r="A152" t="s">
        <v>5</v>
      </c>
      <c r="B152" t="s">
        <v>88</v>
      </c>
      <c r="C152" t="s">
        <v>89</v>
      </c>
      <c r="D152" t="s">
        <v>3</v>
      </c>
      <c r="E152" t="s">
        <v>326</v>
      </c>
      <c r="F152" t="s">
        <v>327</v>
      </c>
      <c r="G152" t="s">
        <v>7</v>
      </c>
      <c r="H152" t="s">
        <v>92</v>
      </c>
      <c r="J152">
        <v>52.530336679999998</v>
      </c>
      <c r="K152">
        <v>13.23929775</v>
      </c>
      <c r="L152" t="s">
        <v>4</v>
      </c>
      <c r="M152">
        <v>0</v>
      </c>
      <c r="N152">
        <v>1.1459810000000001E-2</v>
      </c>
      <c r="O152">
        <v>6.6756001999999995E-2</v>
      </c>
      <c r="P152">
        <v>0.16355897</v>
      </c>
      <c r="Q152">
        <v>0.242290642</v>
      </c>
      <c r="R152">
        <v>0.336612244</v>
      </c>
      <c r="S152">
        <v>0.336612244</v>
      </c>
    </row>
    <row r="153" spans="1:19" x14ac:dyDescent="0.25">
      <c r="A153" t="s">
        <v>5</v>
      </c>
      <c r="B153" t="s">
        <v>88</v>
      </c>
      <c r="C153" t="s">
        <v>89</v>
      </c>
      <c r="D153" t="s">
        <v>3</v>
      </c>
      <c r="E153" t="s">
        <v>131</v>
      </c>
      <c r="F153" t="s">
        <v>328</v>
      </c>
      <c r="G153" t="s">
        <v>7</v>
      </c>
      <c r="H153" t="s">
        <v>92</v>
      </c>
      <c r="J153">
        <v>52.490157070000002</v>
      </c>
      <c r="K153">
        <v>13.830480590000001</v>
      </c>
      <c r="L153" t="s">
        <v>4</v>
      </c>
      <c r="M153">
        <v>0</v>
      </c>
      <c r="N153">
        <v>5.2231719999999999E-3</v>
      </c>
      <c r="O153">
        <v>3.0426166000000001E-2</v>
      </c>
      <c r="P153">
        <v>7.4547189999999999E-2</v>
      </c>
      <c r="Q153">
        <v>0.11043164799999999</v>
      </c>
      <c r="R153">
        <v>0.15342171099999999</v>
      </c>
      <c r="S153">
        <v>0.15342171099999999</v>
      </c>
    </row>
    <row r="154" spans="1:19" x14ac:dyDescent="0.25">
      <c r="A154" t="s">
        <v>5</v>
      </c>
      <c r="B154" t="s">
        <v>88</v>
      </c>
      <c r="C154" t="s">
        <v>89</v>
      </c>
      <c r="D154" t="s">
        <v>3</v>
      </c>
      <c r="E154" t="s">
        <v>196</v>
      </c>
      <c r="F154" t="s">
        <v>197</v>
      </c>
      <c r="G154" t="s">
        <v>7</v>
      </c>
      <c r="H154" t="s">
        <v>92</v>
      </c>
      <c r="J154">
        <v>52.173520459999999</v>
      </c>
      <c r="K154">
        <v>14.640119070000001</v>
      </c>
      <c r="L154" t="s">
        <v>4</v>
      </c>
      <c r="M154">
        <v>0</v>
      </c>
      <c r="N154">
        <v>1.1213829999999999E-2</v>
      </c>
      <c r="O154">
        <v>6.5323116000000001E-2</v>
      </c>
      <c r="P154">
        <v>0.160048254</v>
      </c>
      <c r="Q154">
        <v>0.237089988</v>
      </c>
      <c r="R154">
        <v>0.329387021</v>
      </c>
      <c r="S154">
        <v>0.329387021</v>
      </c>
    </row>
    <row r="155" spans="1:19" x14ac:dyDescent="0.25">
      <c r="A155" t="s">
        <v>5</v>
      </c>
      <c r="B155" t="s">
        <v>88</v>
      </c>
      <c r="C155" t="s">
        <v>89</v>
      </c>
      <c r="D155" t="s">
        <v>3</v>
      </c>
      <c r="E155" t="s">
        <v>329</v>
      </c>
      <c r="F155" t="s">
        <v>330</v>
      </c>
      <c r="G155" t="s">
        <v>7</v>
      </c>
      <c r="H155" t="s">
        <v>92</v>
      </c>
      <c r="J155">
        <v>51.58175336</v>
      </c>
      <c r="K155">
        <v>13.977769090000001</v>
      </c>
      <c r="L155" t="s">
        <v>4</v>
      </c>
      <c r="M155">
        <v>0</v>
      </c>
      <c r="N155">
        <v>6.2358279999999997E-3</v>
      </c>
      <c r="O155">
        <v>3.6325116999999997E-2</v>
      </c>
      <c r="P155">
        <v>8.9000217000000006E-2</v>
      </c>
      <c r="Q155">
        <v>0.131841866</v>
      </c>
      <c r="R155">
        <v>0.183166737</v>
      </c>
      <c r="S155">
        <v>0.183166737</v>
      </c>
    </row>
    <row r="156" spans="1:19" x14ac:dyDescent="0.25">
      <c r="A156" t="s">
        <v>5</v>
      </c>
      <c r="B156" t="s">
        <v>88</v>
      </c>
      <c r="C156" t="s">
        <v>89</v>
      </c>
      <c r="D156" t="s">
        <v>3</v>
      </c>
      <c r="E156" t="s">
        <v>331</v>
      </c>
      <c r="F156" t="s">
        <v>332</v>
      </c>
      <c r="G156" t="s">
        <v>7</v>
      </c>
      <c r="H156" t="s">
        <v>92</v>
      </c>
      <c r="J156">
        <v>51.528581410000001</v>
      </c>
      <c r="K156">
        <v>14.365483770000001</v>
      </c>
      <c r="L156" t="s">
        <v>4</v>
      </c>
      <c r="M156">
        <v>0</v>
      </c>
      <c r="N156">
        <v>7.4702019999999996E-3</v>
      </c>
      <c r="O156">
        <v>4.3515627000000001E-2</v>
      </c>
      <c r="P156">
        <v>0.106617696</v>
      </c>
      <c r="Q156">
        <v>0.15793979399999999</v>
      </c>
      <c r="R156">
        <v>0.21942435800000001</v>
      </c>
      <c r="S156">
        <v>0.21942435800000001</v>
      </c>
    </row>
    <row r="157" spans="1:19" x14ac:dyDescent="0.25">
      <c r="A157" t="s">
        <v>5</v>
      </c>
      <c r="B157" t="s">
        <v>88</v>
      </c>
      <c r="C157" t="s">
        <v>89</v>
      </c>
      <c r="D157" t="s">
        <v>3</v>
      </c>
      <c r="E157" t="s">
        <v>333</v>
      </c>
      <c r="F157" t="s">
        <v>334</v>
      </c>
      <c r="G157" t="s">
        <v>7</v>
      </c>
      <c r="H157" t="s">
        <v>92</v>
      </c>
      <c r="J157">
        <v>51.450966469999997</v>
      </c>
      <c r="K157">
        <v>14.11152613</v>
      </c>
      <c r="L157" t="s">
        <v>4</v>
      </c>
      <c r="M157">
        <v>0</v>
      </c>
      <c r="N157">
        <v>4.7967909999999999E-3</v>
      </c>
      <c r="O157">
        <v>2.7942398E-2</v>
      </c>
      <c r="P157">
        <v>6.8461704999999998E-2</v>
      </c>
      <c r="Q157">
        <v>0.10141682</v>
      </c>
      <c r="R157">
        <v>0.14089748999999999</v>
      </c>
      <c r="S157">
        <v>0.14089748999999999</v>
      </c>
    </row>
    <row r="158" spans="1:19" x14ac:dyDescent="0.25">
      <c r="A158" t="s">
        <v>5</v>
      </c>
      <c r="B158" t="s">
        <v>88</v>
      </c>
      <c r="C158" t="s">
        <v>89</v>
      </c>
      <c r="D158" t="s">
        <v>3</v>
      </c>
      <c r="E158" t="s">
        <v>335</v>
      </c>
      <c r="F158" t="s">
        <v>336</v>
      </c>
      <c r="G158" t="s">
        <v>7</v>
      </c>
      <c r="H158" t="s">
        <v>92</v>
      </c>
      <c r="J158">
        <v>53.082755249999998</v>
      </c>
      <c r="K158">
        <v>14.322349559999999</v>
      </c>
      <c r="L158" t="s">
        <v>4</v>
      </c>
      <c r="M158">
        <v>0</v>
      </c>
      <c r="N158">
        <v>9.4267810000000004E-3</v>
      </c>
      <c r="O158">
        <v>5.4913144999999997E-2</v>
      </c>
      <c r="P158">
        <v>0.13454276900000001</v>
      </c>
      <c r="Q158">
        <v>0.19930703899999999</v>
      </c>
      <c r="R158">
        <v>0.27689550499999999</v>
      </c>
      <c r="S158">
        <v>0.27689550499999999</v>
      </c>
    </row>
    <row r="159" spans="1:19" x14ac:dyDescent="0.25">
      <c r="A159" t="s">
        <v>5</v>
      </c>
      <c r="B159" t="s">
        <v>88</v>
      </c>
      <c r="C159" t="s">
        <v>89</v>
      </c>
      <c r="D159" t="s">
        <v>3</v>
      </c>
      <c r="E159" t="s">
        <v>337</v>
      </c>
      <c r="F159" t="s">
        <v>338</v>
      </c>
      <c r="G159" t="s">
        <v>7</v>
      </c>
      <c r="H159" t="s">
        <v>92</v>
      </c>
      <c r="J159">
        <v>53.707019979999998</v>
      </c>
      <c r="K159">
        <v>12.909720119999999</v>
      </c>
      <c r="L159" t="s">
        <v>4</v>
      </c>
      <c r="M159">
        <v>0</v>
      </c>
      <c r="N159">
        <v>2.7714789999999999E-3</v>
      </c>
      <c r="O159">
        <v>1.6144496000000001E-2</v>
      </c>
      <c r="P159">
        <v>3.9555651999999997E-2</v>
      </c>
      <c r="Q159">
        <v>5.8596385000000001E-2</v>
      </c>
      <c r="R159">
        <v>8.1407438999999998E-2</v>
      </c>
      <c r="S159">
        <v>8.1407438999999998E-2</v>
      </c>
    </row>
    <row r="160" spans="1:19" x14ac:dyDescent="0.25">
      <c r="A160" t="s">
        <v>5</v>
      </c>
      <c r="B160" t="s">
        <v>88</v>
      </c>
      <c r="C160" t="s">
        <v>89</v>
      </c>
      <c r="D160" t="s">
        <v>3</v>
      </c>
      <c r="E160" t="s">
        <v>339</v>
      </c>
      <c r="F160" t="s">
        <v>340</v>
      </c>
      <c r="G160" t="s">
        <v>7</v>
      </c>
      <c r="H160" t="s">
        <v>92</v>
      </c>
      <c r="J160">
        <v>54.144674190000003</v>
      </c>
      <c r="K160">
        <v>12.14359705</v>
      </c>
      <c r="L160" t="s">
        <v>4</v>
      </c>
      <c r="M160">
        <v>0</v>
      </c>
      <c r="N160">
        <v>4.903386E-3</v>
      </c>
      <c r="O160">
        <v>2.856334E-2</v>
      </c>
      <c r="P160">
        <v>6.9983077000000005E-2</v>
      </c>
      <c r="Q160">
        <v>0.103670527</v>
      </c>
      <c r="R160">
        <v>0.14402854500000001</v>
      </c>
      <c r="S160">
        <v>0.14402854500000001</v>
      </c>
    </row>
    <row r="161" spans="1:19" x14ac:dyDescent="0.25">
      <c r="A161" t="s">
        <v>5</v>
      </c>
      <c r="B161" t="s">
        <v>88</v>
      </c>
      <c r="C161" t="s">
        <v>89</v>
      </c>
      <c r="D161" t="s">
        <v>3</v>
      </c>
      <c r="E161" t="s">
        <v>341</v>
      </c>
      <c r="F161" t="s">
        <v>342</v>
      </c>
      <c r="G161" t="s">
        <v>7</v>
      </c>
      <c r="H161" t="s">
        <v>92</v>
      </c>
      <c r="J161">
        <v>53.298520959999998</v>
      </c>
      <c r="K161">
        <v>11.516331470000001</v>
      </c>
      <c r="L161" t="s">
        <v>4</v>
      </c>
      <c r="M161">
        <v>0</v>
      </c>
      <c r="N161">
        <v>1.2365060000000001E-3</v>
      </c>
      <c r="O161">
        <v>7.2029290000000003E-3</v>
      </c>
      <c r="P161">
        <v>1.7647906000000001E-2</v>
      </c>
      <c r="Q161">
        <v>2.6143001999999999E-2</v>
      </c>
      <c r="R161">
        <v>3.6320242000000003E-2</v>
      </c>
      <c r="S161">
        <v>3.6320242000000003E-2</v>
      </c>
    </row>
    <row r="162" spans="1:19" x14ac:dyDescent="0.25">
      <c r="A162" t="s">
        <v>5</v>
      </c>
      <c r="B162" t="s">
        <v>88</v>
      </c>
      <c r="C162" t="s">
        <v>89</v>
      </c>
      <c r="D162" t="s">
        <v>3</v>
      </c>
      <c r="E162" t="s">
        <v>343</v>
      </c>
      <c r="F162" t="s">
        <v>344</v>
      </c>
      <c r="G162" t="s">
        <v>7</v>
      </c>
      <c r="H162" t="s">
        <v>92</v>
      </c>
      <c r="J162">
        <v>54.096261060000003</v>
      </c>
      <c r="K162">
        <v>10.79355679</v>
      </c>
      <c r="L162" t="s">
        <v>4</v>
      </c>
      <c r="M162">
        <v>0</v>
      </c>
      <c r="N162">
        <v>1.079981E-3</v>
      </c>
      <c r="O162">
        <v>6.2911379999999999E-3</v>
      </c>
      <c r="P162">
        <v>1.5413925E-2</v>
      </c>
      <c r="Q162">
        <v>2.2833658999999999E-2</v>
      </c>
      <c r="R162">
        <v>3.1722599999999997E-2</v>
      </c>
      <c r="S162">
        <v>3.1722599999999997E-2</v>
      </c>
    </row>
    <row r="163" spans="1:19" x14ac:dyDescent="0.25">
      <c r="A163" t="s">
        <v>5</v>
      </c>
      <c r="B163" t="s">
        <v>88</v>
      </c>
      <c r="C163" t="s">
        <v>89</v>
      </c>
      <c r="D163" t="s">
        <v>3</v>
      </c>
      <c r="E163" t="s">
        <v>345</v>
      </c>
      <c r="F163" t="s">
        <v>346</v>
      </c>
      <c r="G163" t="s">
        <v>7</v>
      </c>
      <c r="H163" t="s">
        <v>92</v>
      </c>
      <c r="J163">
        <v>54.307207630000001</v>
      </c>
      <c r="K163">
        <v>10.11225058</v>
      </c>
      <c r="L163" t="s">
        <v>4</v>
      </c>
      <c r="M163">
        <v>0</v>
      </c>
      <c r="N163">
        <v>2.98467E-3</v>
      </c>
      <c r="O163">
        <v>1.7386380999999999E-2</v>
      </c>
      <c r="P163">
        <v>4.2598393999999998E-2</v>
      </c>
      <c r="Q163">
        <v>6.3103799000000002E-2</v>
      </c>
      <c r="R163">
        <v>8.7669548999999999E-2</v>
      </c>
      <c r="S163">
        <v>8.7669548999999999E-2</v>
      </c>
    </row>
    <row r="164" spans="1:19" x14ac:dyDescent="0.25">
      <c r="A164" t="s">
        <v>5</v>
      </c>
      <c r="B164" t="s">
        <v>88</v>
      </c>
      <c r="C164" t="s">
        <v>89</v>
      </c>
      <c r="D164" t="s">
        <v>3</v>
      </c>
      <c r="E164" t="s">
        <v>347</v>
      </c>
      <c r="F164" t="s">
        <v>348</v>
      </c>
      <c r="G164" t="s">
        <v>7</v>
      </c>
      <c r="H164" t="s">
        <v>92</v>
      </c>
      <c r="J164">
        <v>54.083000830000003</v>
      </c>
      <c r="K164">
        <v>9.9905855989999992</v>
      </c>
      <c r="L164" t="s">
        <v>4</v>
      </c>
      <c r="M164">
        <v>0</v>
      </c>
      <c r="N164">
        <v>4.2638140000000003E-3</v>
      </c>
      <c r="O164">
        <v>2.4837687000000001E-2</v>
      </c>
      <c r="P164">
        <v>6.0854849000000003E-2</v>
      </c>
      <c r="Q164">
        <v>9.0148283999999995E-2</v>
      </c>
      <c r="R164">
        <v>0.12524221299999999</v>
      </c>
      <c r="S164">
        <v>0.12524221299999999</v>
      </c>
    </row>
    <row r="165" spans="1:19" x14ac:dyDescent="0.25">
      <c r="A165" t="s">
        <v>5</v>
      </c>
      <c r="B165" t="s">
        <v>88</v>
      </c>
      <c r="C165" t="s">
        <v>89</v>
      </c>
      <c r="D165" t="s">
        <v>3</v>
      </c>
      <c r="E165" t="s">
        <v>349</v>
      </c>
      <c r="F165" t="s">
        <v>350</v>
      </c>
      <c r="G165" t="s">
        <v>7</v>
      </c>
      <c r="H165" t="s">
        <v>92</v>
      </c>
      <c r="J165">
        <v>53.618567259999999</v>
      </c>
      <c r="K165">
        <v>10.22449729</v>
      </c>
      <c r="L165" t="s">
        <v>4</v>
      </c>
      <c r="M165">
        <v>0</v>
      </c>
      <c r="N165">
        <v>7.4616739999999997E-3</v>
      </c>
      <c r="O165">
        <v>4.3465952000000002E-2</v>
      </c>
      <c r="P165">
        <v>0.106495986</v>
      </c>
      <c r="Q165">
        <v>0.157759498</v>
      </c>
      <c r="R165">
        <v>0.21917387299999999</v>
      </c>
      <c r="S165">
        <v>0.21917387299999999</v>
      </c>
    </row>
    <row r="166" spans="1:19" x14ac:dyDescent="0.25">
      <c r="A166" t="s">
        <v>5</v>
      </c>
      <c r="B166" t="s">
        <v>88</v>
      </c>
      <c r="C166" t="s">
        <v>89</v>
      </c>
      <c r="D166" t="s">
        <v>3</v>
      </c>
      <c r="E166" t="s">
        <v>351</v>
      </c>
      <c r="F166" t="s">
        <v>352</v>
      </c>
      <c r="G166" t="s">
        <v>7</v>
      </c>
      <c r="H166" t="s">
        <v>92</v>
      </c>
      <c r="J166">
        <v>53.53183087</v>
      </c>
      <c r="K166">
        <v>10.07311881</v>
      </c>
      <c r="L166" t="s">
        <v>4</v>
      </c>
      <c r="M166">
        <v>0</v>
      </c>
      <c r="N166">
        <v>7.4616739999999997E-3</v>
      </c>
      <c r="O166">
        <v>4.3465952000000002E-2</v>
      </c>
      <c r="P166">
        <v>0.106495986</v>
      </c>
      <c r="Q166">
        <v>0.157759498</v>
      </c>
      <c r="R166">
        <v>0.21917387299999999</v>
      </c>
      <c r="S166">
        <v>0.21917387299999999</v>
      </c>
    </row>
    <row r="167" spans="1:19" x14ac:dyDescent="0.25">
      <c r="A167" t="s">
        <v>5</v>
      </c>
      <c r="B167" t="s">
        <v>88</v>
      </c>
      <c r="C167" t="s">
        <v>89</v>
      </c>
      <c r="D167" t="s">
        <v>3</v>
      </c>
      <c r="E167" t="s">
        <v>351</v>
      </c>
      <c r="F167" t="s">
        <v>352</v>
      </c>
      <c r="G167" t="s">
        <v>7</v>
      </c>
      <c r="H167" t="s">
        <v>92</v>
      </c>
      <c r="J167">
        <v>53.520923260000004</v>
      </c>
      <c r="K167">
        <v>9.9339566730000008</v>
      </c>
      <c r="L167" t="s">
        <v>4</v>
      </c>
      <c r="M167">
        <v>0</v>
      </c>
      <c r="N167">
        <v>6.822102E-3</v>
      </c>
      <c r="O167">
        <v>3.9740299E-2</v>
      </c>
      <c r="P167">
        <v>9.7367758999999998E-2</v>
      </c>
      <c r="Q167">
        <v>0.14423725500000001</v>
      </c>
      <c r="R167">
        <v>0.200387541</v>
      </c>
      <c r="S167">
        <v>0.200387541</v>
      </c>
    </row>
    <row r="168" spans="1:19" x14ac:dyDescent="0.25">
      <c r="A168" t="s">
        <v>5</v>
      </c>
      <c r="B168" t="s">
        <v>88</v>
      </c>
      <c r="C168" t="s">
        <v>89</v>
      </c>
      <c r="D168" t="s">
        <v>3</v>
      </c>
      <c r="E168" t="s">
        <v>353</v>
      </c>
      <c r="F168" t="s">
        <v>354</v>
      </c>
      <c r="G168" t="s">
        <v>7</v>
      </c>
      <c r="H168" t="s">
        <v>92</v>
      </c>
      <c r="J168">
        <v>53.70506778</v>
      </c>
      <c r="K168">
        <v>9.7764563590000009</v>
      </c>
      <c r="L168" t="s">
        <v>4</v>
      </c>
      <c r="M168">
        <v>0</v>
      </c>
      <c r="N168">
        <v>1.705526E-3</v>
      </c>
      <c r="O168">
        <v>9.9350749999999998E-3</v>
      </c>
      <c r="P168">
        <v>2.4341939999999999E-2</v>
      </c>
      <c r="Q168">
        <v>3.6059314000000002E-2</v>
      </c>
      <c r="R168">
        <v>5.0096885000000001E-2</v>
      </c>
      <c r="S168">
        <v>5.0096885000000001E-2</v>
      </c>
    </row>
    <row r="169" spans="1:19" x14ac:dyDescent="0.25">
      <c r="A169" t="s">
        <v>5</v>
      </c>
      <c r="B169" t="s">
        <v>88</v>
      </c>
      <c r="C169" t="s">
        <v>89</v>
      </c>
      <c r="D169" t="s">
        <v>3</v>
      </c>
      <c r="E169" t="s">
        <v>101</v>
      </c>
      <c r="F169" t="s">
        <v>102</v>
      </c>
      <c r="G169" t="s">
        <v>7</v>
      </c>
      <c r="H169" t="s">
        <v>92</v>
      </c>
      <c r="J169">
        <v>53.781289000000001</v>
      </c>
      <c r="K169">
        <v>9.4256796680000008</v>
      </c>
      <c r="L169" t="s">
        <v>4</v>
      </c>
      <c r="M169">
        <v>0</v>
      </c>
      <c r="N169">
        <v>5.1165769999999998E-3</v>
      </c>
      <c r="O169">
        <v>2.9805224000000002E-2</v>
      </c>
      <c r="P169">
        <v>7.3025819000000006E-2</v>
      </c>
      <c r="Q169">
        <v>0.108177941</v>
      </c>
      <c r="R169">
        <v>0.15029065599999999</v>
      </c>
      <c r="S169">
        <v>0.15029065599999999</v>
      </c>
    </row>
    <row r="170" spans="1:19" x14ac:dyDescent="0.25">
      <c r="A170" t="s">
        <v>5</v>
      </c>
      <c r="B170" t="s">
        <v>88</v>
      </c>
      <c r="C170" t="s">
        <v>89</v>
      </c>
      <c r="D170" t="s">
        <v>3</v>
      </c>
      <c r="E170" t="s">
        <v>355</v>
      </c>
      <c r="F170" t="s">
        <v>356</v>
      </c>
      <c r="G170" t="s">
        <v>7</v>
      </c>
      <c r="H170" t="s">
        <v>92</v>
      </c>
      <c r="J170">
        <v>53.547990830000003</v>
      </c>
      <c r="K170">
        <v>8.6178952459999998</v>
      </c>
      <c r="L170" t="s">
        <v>4</v>
      </c>
      <c r="M170">
        <v>0</v>
      </c>
      <c r="N170">
        <v>8.5596060000000009E-3</v>
      </c>
      <c r="O170">
        <v>4.9861655999999997E-2</v>
      </c>
      <c r="P170">
        <v>0.12216610999999999</v>
      </c>
      <c r="Q170">
        <v>0.180972681</v>
      </c>
      <c r="R170">
        <v>0.25142374299999998</v>
      </c>
      <c r="S170">
        <v>0.25142374299999998</v>
      </c>
    </row>
    <row r="171" spans="1:19" x14ac:dyDescent="0.25">
      <c r="A171" t="s">
        <v>5</v>
      </c>
      <c r="B171" t="s">
        <v>88</v>
      </c>
      <c r="C171" t="s">
        <v>89</v>
      </c>
      <c r="D171" t="s">
        <v>3</v>
      </c>
      <c r="E171" t="s">
        <v>357</v>
      </c>
      <c r="F171" t="s">
        <v>358</v>
      </c>
      <c r="G171" t="s">
        <v>7</v>
      </c>
      <c r="H171" t="s">
        <v>92</v>
      </c>
      <c r="J171">
        <v>53.179208619999997</v>
      </c>
      <c r="K171">
        <v>8.5723346720000002</v>
      </c>
      <c r="L171" t="s">
        <v>4</v>
      </c>
      <c r="M171">
        <v>0</v>
      </c>
      <c r="N171">
        <v>1.385739E-3</v>
      </c>
      <c r="O171">
        <v>8.0722480000000006E-3</v>
      </c>
      <c r="P171">
        <v>1.9777825999999998E-2</v>
      </c>
      <c r="Q171">
        <v>2.9298192000000001E-2</v>
      </c>
      <c r="R171">
        <v>4.0703718999999999E-2</v>
      </c>
      <c r="S171">
        <v>4.0703718999999999E-2</v>
      </c>
    </row>
    <row r="172" spans="1:19" x14ac:dyDescent="0.25">
      <c r="A172" t="s">
        <v>5</v>
      </c>
      <c r="B172" t="s">
        <v>88</v>
      </c>
      <c r="C172" t="s">
        <v>89</v>
      </c>
      <c r="D172" t="s">
        <v>3</v>
      </c>
      <c r="E172" t="s">
        <v>359</v>
      </c>
      <c r="F172" t="s">
        <v>360</v>
      </c>
      <c r="G172" t="s">
        <v>7</v>
      </c>
      <c r="H172" t="s">
        <v>92</v>
      </c>
      <c r="J172">
        <v>53.124072060000003</v>
      </c>
      <c r="K172">
        <v>8.7278352229999996</v>
      </c>
      <c r="L172" t="s">
        <v>4</v>
      </c>
      <c r="M172">
        <v>0</v>
      </c>
      <c r="N172">
        <v>7.3550789999999996E-3</v>
      </c>
      <c r="O172">
        <v>4.2845010000000003E-2</v>
      </c>
      <c r="P172">
        <v>0.10497461499999999</v>
      </c>
      <c r="Q172">
        <v>0.155505791</v>
      </c>
      <c r="R172">
        <v>0.216042818</v>
      </c>
      <c r="S172">
        <v>0.216042818</v>
      </c>
    </row>
    <row r="173" spans="1:19" x14ac:dyDescent="0.25">
      <c r="A173" t="s">
        <v>5</v>
      </c>
      <c r="B173" t="s">
        <v>88</v>
      </c>
      <c r="C173" t="s">
        <v>89</v>
      </c>
      <c r="D173" t="s">
        <v>3</v>
      </c>
      <c r="E173" t="s">
        <v>359</v>
      </c>
      <c r="F173" t="s">
        <v>360</v>
      </c>
      <c r="G173" t="s">
        <v>7</v>
      </c>
      <c r="H173" t="s">
        <v>92</v>
      </c>
      <c r="J173">
        <v>53.114351059999997</v>
      </c>
      <c r="K173">
        <v>8.8167435249999997</v>
      </c>
      <c r="L173" t="s">
        <v>4</v>
      </c>
      <c r="M173">
        <v>0</v>
      </c>
      <c r="N173">
        <v>1.1725487999999999E-2</v>
      </c>
      <c r="O173">
        <v>6.8303638E-2</v>
      </c>
      <c r="P173">
        <v>0.167350835</v>
      </c>
      <c r="Q173">
        <v>0.24790778199999999</v>
      </c>
      <c r="R173">
        <v>0.34441608699999998</v>
      </c>
      <c r="S173">
        <v>0.34441608699999998</v>
      </c>
    </row>
    <row r="174" spans="1:19" x14ac:dyDescent="0.25">
      <c r="A174" t="s">
        <v>5</v>
      </c>
      <c r="B174" t="s">
        <v>88</v>
      </c>
      <c r="C174" t="s">
        <v>89</v>
      </c>
      <c r="D174" t="s">
        <v>3</v>
      </c>
      <c r="E174" t="s">
        <v>361</v>
      </c>
      <c r="F174" t="s">
        <v>362</v>
      </c>
      <c r="G174" t="s">
        <v>7</v>
      </c>
      <c r="H174" t="s">
        <v>92</v>
      </c>
      <c r="J174">
        <v>53.181020879999998</v>
      </c>
      <c r="K174">
        <v>7.354555951</v>
      </c>
      <c r="L174" t="s">
        <v>4</v>
      </c>
      <c r="M174">
        <v>0</v>
      </c>
      <c r="N174">
        <v>3.837432E-3</v>
      </c>
      <c r="O174">
        <v>2.2353918E-2</v>
      </c>
      <c r="P174">
        <v>5.4769364000000001E-2</v>
      </c>
      <c r="Q174">
        <v>8.1133456000000007E-2</v>
      </c>
      <c r="R174">
        <v>0.112717992</v>
      </c>
      <c r="S174">
        <v>0.112717992</v>
      </c>
    </row>
    <row r="175" spans="1:19" x14ac:dyDescent="0.25">
      <c r="A175" t="s">
        <v>5</v>
      </c>
      <c r="B175" t="s">
        <v>88</v>
      </c>
      <c r="C175" t="s">
        <v>89</v>
      </c>
      <c r="D175" t="s">
        <v>3</v>
      </c>
      <c r="E175" t="s">
        <v>363</v>
      </c>
      <c r="F175" t="s">
        <v>364</v>
      </c>
      <c r="G175" t="s">
        <v>7</v>
      </c>
      <c r="H175" t="s">
        <v>92</v>
      </c>
      <c r="J175">
        <v>52.643203130000003</v>
      </c>
      <c r="K175">
        <v>6.7421377009999999</v>
      </c>
      <c r="L175" t="s">
        <v>4</v>
      </c>
      <c r="M175">
        <v>0</v>
      </c>
      <c r="N175">
        <v>9.6826099999999995E-3</v>
      </c>
      <c r="O175">
        <v>5.6403406000000003E-2</v>
      </c>
      <c r="P175">
        <v>0.13819406000000001</v>
      </c>
      <c r="Q175">
        <v>0.20471593599999999</v>
      </c>
      <c r="R175">
        <v>0.284410037</v>
      </c>
      <c r="S175">
        <v>0.284410037</v>
      </c>
    </row>
    <row r="176" spans="1:19" x14ac:dyDescent="0.25">
      <c r="A176" t="s">
        <v>5</v>
      </c>
      <c r="B176" t="s">
        <v>88</v>
      </c>
      <c r="C176" t="s">
        <v>89</v>
      </c>
      <c r="D176" t="s">
        <v>3</v>
      </c>
      <c r="E176" t="s">
        <v>365</v>
      </c>
      <c r="F176" t="s">
        <v>366</v>
      </c>
      <c r="G176" t="s">
        <v>7</v>
      </c>
      <c r="H176" t="s">
        <v>92</v>
      </c>
      <c r="J176">
        <v>52.313141109999997</v>
      </c>
      <c r="K176">
        <v>7.3507255469999997</v>
      </c>
      <c r="L176" t="s">
        <v>4</v>
      </c>
      <c r="M176">
        <v>0</v>
      </c>
      <c r="N176">
        <v>2.7714789999999999E-3</v>
      </c>
      <c r="O176">
        <v>1.6144496000000001E-2</v>
      </c>
      <c r="P176">
        <v>3.9555651999999997E-2</v>
      </c>
      <c r="Q176">
        <v>5.8596385000000001E-2</v>
      </c>
      <c r="R176">
        <v>8.1407438999999998E-2</v>
      </c>
      <c r="S176">
        <v>8.1407438999999998E-2</v>
      </c>
    </row>
    <row r="177" spans="1:19" x14ac:dyDescent="0.25">
      <c r="A177" t="s">
        <v>2</v>
      </c>
      <c r="B177" t="s">
        <v>88</v>
      </c>
      <c r="C177" t="s">
        <v>89</v>
      </c>
      <c r="D177" t="s">
        <v>3</v>
      </c>
      <c r="E177" t="s">
        <v>90</v>
      </c>
      <c r="F177" t="s">
        <v>91</v>
      </c>
      <c r="G177" t="s">
        <v>6</v>
      </c>
      <c r="H177" t="s">
        <v>92</v>
      </c>
      <c r="J177">
        <v>48.653686829999998</v>
      </c>
      <c r="K177">
        <v>10.16246767</v>
      </c>
      <c r="L177" t="s">
        <v>4</v>
      </c>
      <c r="M177">
        <v>0.413052963</v>
      </c>
      <c r="N177">
        <v>0.36142134300000001</v>
      </c>
      <c r="O177">
        <v>0.39179288400000001</v>
      </c>
      <c r="P177">
        <v>0.35838418900000002</v>
      </c>
      <c r="Q177">
        <v>0.32801264699999999</v>
      </c>
      <c r="R177">
        <v>0.294603952</v>
      </c>
      <c r="S177">
        <v>0.294603952</v>
      </c>
    </row>
    <row r="178" spans="1:19" x14ac:dyDescent="0.25">
      <c r="A178" t="s">
        <v>2</v>
      </c>
      <c r="B178" t="s">
        <v>88</v>
      </c>
      <c r="C178" t="s">
        <v>89</v>
      </c>
      <c r="D178" t="s">
        <v>3</v>
      </c>
      <c r="E178" t="s">
        <v>93</v>
      </c>
      <c r="F178" t="s">
        <v>94</v>
      </c>
      <c r="G178" t="s">
        <v>6</v>
      </c>
      <c r="H178" t="s">
        <v>92</v>
      </c>
      <c r="J178">
        <v>49.357679390000001</v>
      </c>
      <c r="K178">
        <v>8.6858323980000005</v>
      </c>
      <c r="L178" t="s">
        <v>4</v>
      </c>
      <c r="M178">
        <v>0.383086916</v>
      </c>
      <c r="N178">
        <v>0.383086916</v>
      </c>
      <c r="O178">
        <v>0.33520105100000003</v>
      </c>
      <c r="P178">
        <v>0.36336920700000003</v>
      </c>
      <c r="Q178">
        <v>0.332384236</v>
      </c>
      <c r="R178">
        <v>0.30421608</v>
      </c>
      <c r="S178">
        <v>0.30421608</v>
      </c>
    </row>
    <row r="179" spans="1:19" x14ac:dyDescent="0.25">
      <c r="A179" t="s">
        <v>2</v>
      </c>
      <c r="B179" t="s">
        <v>88</v>
      </c>
      <c r="C179" t="s">
        <v>89</v>
      </c>
      <c r="D179" t="s">
        <v>3</v>
      </c>
      <c r="E179" t="s">
        <v>95</v>
      </c>
      <c r="F179" t="s">
        <v>96</v>
      </c>
      <c r="G179" t="s">
        <v>6</v>
      </c>
      <c r="H179" t="s">
        <v>92</v>
      </c>
      <c r="J179">
        <v>49.018412980000001</v>
      </c>
      <c r="K179">
        <v>8.6124897310000001</v>
      </c>
      <c r="L179" t="s">
        <v>4</v>
      </c>
      <c r="M179">
        <v>0.35976087899999998</v>
      </c>
      <c r="N179">
        <v>0.35976087899999998</v>
      </c>
      <c r="O179">
        <v>0.31479076900000003</v>
      </c>
      <c r="P179">
        <v>0.34124377500000003</v>
      </c>
      <c r="Q179">
        <v>0.31214546799999998</v>
      </c>
      <c r="R179">
        <v>0.28569246300000001</v>
      </c>
      <c r="S179">
        <v>0.28569246300000001</v>
      </c>
    </row>
    <row r="180" spans="1:19" x14ac:dyDescent="0.25">
      <c r="A180" t="s">
        <v>2</v>
      </c>
      <c r="B180" t="s">
        <v>88</v>
      </c>
      <c r="C180" t="s">
        <v>89</v>
      </c>
      <c r="D180" t="s">
        <v>3</v>
      </c>
      <c r="E180" t="s">
        <v>97</v>
      </c>
      <c r="F180" t="s">
        <v>98</v>
      </c>
      <c r="G180" t="s">
        <v>6</v>
      </c>
      <c r="H180" t="s">
        <v>92</v>
      </c>
      <c r="J180">
        <v>48.331986280000002</v>
      </c>
      <c r="K180">
        <v>9.7304687479999998</v>
      </c>
      <c r="L180" t="s">
        <v>4</v>
      </c>
      <c r="M180">
        <v>0.45278303800000003</v>
      </c>
      <c r="N180">
        <v>0.45278303800000003</v>
      </c>
      <c r="O180">
        <v>0.39618515799999998</v>
      </c>
      <c r="P180">
        <v>0.42947802899999998</v>
      </c>
      <c r="Q180">
        <v>0.39285587100000002</v>
      </c>
      <c r="R180">
        <v>0.35956300099999999</v>
      </c>
      <c r="S180">
        <v>0.35956300099999999</v>
      </c>
    </row>
    <row r="181" spans="1:19" x14ac:dyDescent="0.25">
      <c r="A181" t="s">
        <v>2</v>
      </c>
      <c r="B181" t="s">
        <v>88</v>
      </c>
      <c r="C181" t="s">
        <v>89</v>
      </c>
      <c r="D181" t="s">
        <v>3</v>
      </c>
      <c r="E181" t="s">
        <v>97</v>
      </c>
      <c r="F181" t="s">
        <v>98</v>
      </c>
      <c r="G181" t="s">
        <v>6</v>
      </c>
      <c r="H181" t="s">
        <v>92</v>
      </c>
      <c r="J181">
        <v>48.368603120000003</v>
      </c>
      <c r="K181">
        <v>9.7346784</v>
      </c>
      <c r="L181" t="s">
        <v>4</v>
      </c>
      <c r="M181">
        <v>0.60784703699999998</v>
      </c>
      <c r="N181">
        <v>0.60784703699999998</v>
      </c>
      <c r="O181">
        <v>0.53186615699999995</v>
      </c>
      <c r="P181">
        <v>0.57656079199999999</v>
      </c>
      <c r="Q181">
        <v>0.527396694</v>
      </c>
      <c r="R181">
        <v>0.48270205900000002</v>
      </c>
      <c r="S181">
        <v>0.48270205900000002</v>
      </c>
    </row>
    <row r="182" spans="1:19" x14ac:dyDescent="0.25">
      <c r="A182" t="s">
        <v>2</v>
      </c>
      <c r="B182" t="s">
        <v>88</v>
      </c>
      <c r="C182" t="s">
        <v>89</v>
      </c>
      <c r="D182" t="s">
        <v>3</v>
      </c>
      <c r="E182" t="s">
        <v>99</v>
      </c>
      <c r="F182" t="s">
        <v>100</v>
      </c>
      <c r="G182" t="s">
        <v>6</v>
      </c>
      <c r="H182" t="s">
        <v>92</v>
      </c>
      <c r="J182">
        <v>48.227041210000003</v>
      </c>
      <c r="K182">
        <v>8.7790961079999992</v>
      </c>
      <c r="L182" t="s">
        <v>4</v>
      </c>
      <c r="M182">
        <v>0.52629559800000003</v>
      </c>
      <c r="N182">
        <v>0.52629559800000003</v>
      </c>
      <c r="O182">
        <v>0.46050864800000002</v>
      </c>
      <c r="P182">
        <v>0.49920685399999998</v>
      </c>
      <c r="Q182">
        <v>0.45663882700000002</v>
      </c>
      <c r="R182">
        <v>0.41794062199999998</v>
      </c>
      <c r="S182">
        <v>0.41794062199999998</v>
      </c>
    </row>
    <row r="183" spans="1:19" x14ac:dyDescent="0.25">
      <c r="A183" t="s">
        <v>2</v>
      </c>
      <c r="B183" t="s">
        <v>88</v>
      </c>
      <c r="C183" t="s">
        <v>89</v>
      </c>
      <c r="D183" t="s">
        <v>3</v>
      </c>
      <c r="E183" t="s">
        <v>101</v>
      </c>
      <c r="F183" t="s">
        <v>102</v>
      </c>
      <c r="G183" t="s">
        <v>6</v>
      </c>
      <c r="H183" t="s">
        <v>92</v>
      </c>
      <c r="J183">
        <v>53.874164919999998</v>
      </c>
      <c r="K183">
        <v>9.5832685959999999</v>
      </c>
      <c r="L183" t="s">
        <v>4</v>
      </c>
      <c r="M183">
        <v>0.79108328400000005</v>
      </c>
      <c r="N183">
        <v>0.79108328400000005</v>
      </c>
      <c r="O183">
        <v>0.69219787300000002</v>
      </c>
      <c r="P183">
        <v>0.75036576200000005</v>
      </c>
      <c r="Q183">
        <v>0.68638108399999997</v>
      </c>
      <c r="R183">
        <v>0.62821319600000003</v>
      </c>
      <c r="S183">
        <v>0.62821319600000003</v>
      </c>
    </row>
    <row r="184" spans="1:19" x14ac:dyDescent="0.25">
      <c r="A184" t="s">
        <v>2</v>
      </c>
      <c r="B184" t="s">
        <v>88</v>
      </c>
      <c r="C184" t="s">
        <v>89</v>
      </c>
      <c r="D184" t="s">
        <v>3</v>
      </c>
      <c r="E184" t="s">
        <v>103</v>
      </c>
      <c r="F184" t="s">
        <v>104</v>
      </c>
      <c r="G184" t="s">
        <v>6</v>
      </c>
      <c r="H184" t="s">
        <v>92</v>
      </c>
      <c r="J184">
        <v>52.349831299999998</v>
      </c>
      <c r="K184">
        <v>9.8859338710000007</v>
      </c>
      <c r="L184" t="s">
        <v>4</v>
      </c>
      <c r="M184">
        <v>0.46625867999999998</v>
      </c>
      <c r="N184">
        <v>0.46625867999999998</v>
      </c>
      <c r="O184">
        <v>0.40797634500000002</v>
      </c>
      <c r="P184">
        <v>0.44226007099999998</v>
      </c>
      <c r="Q184">
        <v>0.40454797199999998</v>
      </c>
      <c r="R184">
        <v>0.37026424600000002</v>
      </c>
      <c r="S184">
        <v>0.37026424600000002</v>
      </c>
    </row>
    <row r="185" spans="1:19" x14ac:dyDescent="0.25">
      <c r="A185" t="s">
        <v>2</v>
      </c>
      <c r="B185" t="s">
        <v>88</v>
      </c>
      <c r="C185" t="s">
        <v>89</v>
      </c>
      <c r="D185" t="s">
        <v>3</v>
      </c>
      <c r="E185" t="s">
        <v>105</v>
      </c>
      <c r="F185" t="s">
        <v>106</v>
      </c>
      <c r="G185" t="s">
        <v>6</v>
      </c>
      <c r="H185" t="s">
        <v>92</v>
      </c>
      <c r="J185">
        <v>51.765173730000001</v>
      </c>
      <c r="K185">
        <v>8.0540287880000001</v>
      </c>
      <c r="L185" t="s">
        <v>4</v>
      </c>
      <c r="M185">
        <v>0.41116984299999998</v>
      </c>
      <c r="N185">
        <v>0.41116984299999998</v>
      </c>
      <c r="O185">
        <v>0.35977361299999999</v>
      </c>
      <c r="P185">
        <v>0.39000668900000002</v>
      </c>
      <c r="Q185">
        <v>0.35675030499999999</v>
      </c>
      <c r="R185">
        <v>0.32651722799999999</v>
      </c>
      <c r="S185">
        <v>0.32651722799999999</v>
      </c>
    </row>
    <row r="186" spans="1:19" x14ac:dyDescent="0.25">
      <c r="A186" t="s">
        <v>2</v>
      </c>
      <c r="B186" t="s">
        <v>88</v>
      </c>
      <c r="C186" t="s">
        <v>89</v>
      </c>
      <c r="D186" t="s">
        <v>3</v>
      </c>
      <c r="E186" t="s">
        <v>107</v>
      </c>
      <c r="F186" t="s">
        <v>108</v>
      </c>
      <c r="G186" t="s">
        <v>6</v>
      </c>
      <c r="H186" t="s">
        <v>92</v>
      </c>
      <c r="J186">
        <v>52.174985890000002</v>
      </c>
      <c r="K186">
        <v>7.8878276410000003</v>
      </c>
      <c r="L186" t="s">
        <v>4</v>
      </c>
      <c r="M186">
        <v>0.78009607700000005</v>
      </c>
      <c r="N186">
        <v>0.78009607700000005</v>
      </c>
      <c r="O186">
        <v>0.68258406800000004</v>
      </c>
      <c r="P186">
        <v>0.73994407299999998</v>
      </c>
      <c r="Q186">
        <v>0.676848067</v>
      </c>
      <c r="R186">
        <v>0.61948806099999998</v>
      </c>
      <c r="S186">
        <v>0.61948806099999998</v>
      </c>
    </row>
    <row r="187" spans="1:19" x14ac:dyDescent="0.25">
      <c r="A187" t="s">
        <v>2</v>
      </c>
      <c r="B187" t="s">
        <v>88</v>
      </c>
      <c r="C187" t="s">
        <v>89</v>
      </c>
      <c r="D187" t="s">
        <v>3</v>
      </c>
      <c r="E187" t="s">
        <v>109</v>
      </c>
      <c r="F187" t="s">
        <v>110</v>
      </c>
      <c r="G187" t="s">
        <v>6</v>
      </c>
      <c r="H187" t="s">
        <v>92</v>
      </c>
      <c r="J187">
        <v>51.698988470000003</v>
      </c>
      <c r="K187">
        <v>8.7470409070000006</v>
      </c>
      <c r="L187" t="s">
        <v>4</v>
      </c>
      <c r="M187">
        <v>0.16345647099999999</v>
      </c>
      <c r="N187">
        <v>0.16345647099999999</v>
      </c>
      <c r="O187">
        <v>0.14302441199999999</v>
      </c>
      <c r="P187">
        <v>0.15504327000000001</v>
      </c>
      <c r="Q187">
        <v>0.141822526</v>
      </c>
      <c r="R187">
        <v>0.12980366800000001</v>
      </c>
      <c r="S187">
        <v>0.12980366800000001</v>
      </c>
    </row>
    <row r="188" spans="1:19" x14ac:dyDescent="0.25">
      <c r="A188" t="s">
        <v>2</v>
      </c>
      <c r="B188" t="s">
        <v>88</v>
      </c>
      <c r="C188" t="s">
        <v>89</v>
      </c>
      <c r="D188" t="s">
        <v>3</v>
      </c>
      <c r="E188" t="s">
        <v>111</v>
      </c>
      <c r="F188" t="s">
        <v>112</v>
      </c>
      <c r="G188" t="s">
        <v>6</v>
      </c>
      <c r="H188" t="s">
        <v>92</v>
      </c>
      <c r="J188">
        <v>51.62256052</v>
      </c>
      <c r="K188">
        <v>8.5043928809999993</v>
      </c>
      <c r="L188" t="s">
        <v>4</v>
      </c>
      <c r="M188">
        <v>0.18801528300000001</v>
      </c>
      <c r="N188">
        <v>0.18801528300000001</v>
      </c>
      <c r="O188">
        <v>0.16451337299999999</v>
      </c>
      <c r="P188">
        <v>0.17833802600000001</v>
      </c>
      <c r="Q188">
        <v>0.16313090699999999</v>
      </c>
      <c r="R188">
        <v>0.149306254</v>
      </c>
      <c r="S188">
        <v>0.149306254</v>
      </c>
    </row>
    <row r="189" spans="1:19" x14ac:dyDescent="0.25">
      <c r="A189" t="s">
        <v>2</v>
      </c>
      <c r="B189" t="s">
        <v>88</v>
      </c>
      <c r="C189" t="s">
        <v>89</v>
      </c>
      <c r="D189" t="s">
        <v>3</v>
      </c>
      <c r="E189" t="s">
        <v>111</v>
      </c>
      <c r="F189" t="s">
        <v>112</v>
      </c>
      <c r="G189" t="s">
        <v>6</v>
      </c>
      <c r="H189" t="s">
        <v>92</v>
      </c>
      <c r="J189">
        <v>51.597210140000001</v>
      </c>
      <c r="K189">
        <v>8.3346819449999998</v>
      </c>
      <c r="L189" t="s">
        <v>4</v>
      </c>
      <c r="M189">
        <v>0.28201554299999998</v>
      </c>
      <c r="N189">
        <v>0.28201554299999998</v>
      </c>
      <c r="O189">
        <v>0.2467636</v>
      </c>
      <c r="P189">
        <v>0.26750003700000002</v>
      </c>
      <c r="Q189">
        <v>0.24468995599999999</v>
      </c>
      <c r="R189">
        <v>0.22395351899999999</v>
      </c>
      <c r="S189">
        <v>0.22395351899999999</v>
      </c>
    </row>
    <row r="190" spans="1:19" x14ac:dyDescent="0.25">
      <c r="A190" t="s">
        <v>2</v>
      </c>
      <c r="B190" t="s">
        <v>88</v>
      </c>
      <c r="C190" t="s">
        <v>89</v>
      </c>
      <c r="D190" t="s">
        <v>3</v>
      </c>
      <c r="E190" t="s">
        <v>111</v>
      </c>
      <c r="F190" t="s">
        <v>112</v>
      </c>
      <c r="G190" t="s">
        <v>6</v>
      </c>
      <c r="H190" t="s">
        <v>92</v>
      </c>
      <c r="J190">
        <v>51.594684739999998</v>
      </c>
      <c r="K190">
        <v>8.3349065200000005</v>
      </c>
      <c r="L190" t="s">
        <v>4</v>
      </c>
      <c r="M190">
        <v>0.41794125100000001</v>
      </c>
      <c r="N190">
        <v>0.41794125100000001</v>
      </c>
      <c r="O190">
        <v>0.36569859500000002</v>
      </c>
      <c r="P190">
        <v>0.39642956899999998</v>
      </c>
      <c r="Q190">
        <v>0.36262549799999999</v>
      </c>
      <c r="R190">
        <v>0.331894523</v>
      </c>
      <c r="S190">
        <v>0.331894523</v>
      </c>
    </row>
    <row r="191" spans="1:19" x14ac:dyDescent="0.25">
      <c r="A191" t="s">
        <v>2</v>
      </c>
      <c r="B191" t="s">
        <v>88</v>
      </c>
      <c r="C191" t="s">
        <v>89</v>
      </c>
      <c r="D191" t="s">
        <v>3</v>
      </c>
      <c r="E191" t="s">
        <v>111</v>
      </c>
      <c r="F191" t="s">
        <v>112</v>
      </c>
      <c r="G191" t="s">
        <v>6</v>
      </c>
      <c r="H191" t="s">
        <v>92</v>
      </c>
      <c r="J191">
        <v>51.601120729999998</v>
      </c>
      <c r="K191">
        <v>8.3361264300000002</v>
      </c>
      <c r="L191" t="s">
        <v>4</v>
      </c>
      <c r="M191">
        <v>0.52548137500000003</v>
      </c>
      <c r="N191">
        <v>0.52548137500000003</v>
      </c>
      <c r="O191">
        <v>0.45979620300000001</v>
      </c>
      <c r="P191">
        <v>0.49843453999999998</v>
      </c>
      <c r="Q191">
        <v>0.45593236999999998</v>
      </c>
      <c r="R191">
        <v>0.41729403300000001</v>
      </c>
      <c r="S191">
        <v>0.41729403300000001</v>
      </c>
    </row>
    <row r="192" spans="1:19" x14ac:dyDescent="0.25">
      <c r="A192" t="s">
        <v>2</v>
      </c>
      <c r="B192" t="s">
        <v>88</v>
      </c>
      <c r="C192" t="s">
        <v>89</v>
      </c>
      <c r="D192" t="s">
        <v>3</v>
      </c>
      <c r="E192" t="s">
        <v>113</v>
      </c>
      <c r="F192" t="s">
        <v>114</v>
      </c>
      <c r="G192" t="s">
        <v>6</v>
      </c>
      <c r="H192" t="s">
        <v>92</v>
      </c>
      <c r="J192">
        <v>50.031909560000003</v>
      </c>
      <c r="K192">
        <v>8.2570017539999991</v>
      </c>
      <c r="L192" t="s">
        <v>4</v>
      </c>
      <c r="M192">
        <v>0.12881325699999999</v>
      </c>
      <c r="N192">
        <v>0.12881325699999999</v>
      </c>
      <c r="O192">
        <v>0.1127116</v>
      </c>
      <c r="P192">
        <v>0.122183163</v>
      </c>
      <c r="Q192">
        <v>0.111764443</v>
      </c>
      <c r="R192">
        <v>0.10229288</v>
      </c>
      <c r="S192">
        <v>0.10229288</v>
      </c>
    </row>
    <row r="193" spans="1:19" x14ac:dyDescent="0.25">
      <c r="A193" t="s">
        <v>2</v>
      </c>
      <c r="B193" t="s">
        <v>88</v>
      </c>
      <c r="C193" t="s">
        <v>89</v>
      </c>
      <c r="D193" t="s">
        <v>3</v>
      </c>
      <c r="E193" t="s">
        <v>115</v>
      </c>
      <c r="F193" t="s">
        <v>116</v>
      </c>
      <c r="G193" t="s">
        <v>6</v>
      </c>
      <c r="H193" t="s">
        <v>92</v>
      </c>
      <c r="J193">
        <v>50.584524440000003</v>
      </c>
      <c r="K193">
        <v>9.5095189270000002</v>
      </c>
      <c r="L193" t="s">
        <v>4</v>
      </c>
      <c r="M193">
        <v>0.104529789</v>
      </c>
      <c r="N193">
        <v>0.104529789</v>
      </c>
      <c r="O193">
        <v>9.1463564999999997E-2</v>
      </c>
      <c r="P193">
        <v>9.9149579000000002E-2</v>
      </c>
      <c r="Q193">
        <v>9.0694964000000003E-2</v>
      </c>
      <c r="R193">
        <v>8.3008949999999998E-2</v>
      </c>
      <c r="S193">
        <v>8.3008949999999998E-2</v>
      </c>
    </row>
    <row r="194" spans="1:19" x14ac:dyDescent="0.25">
      <c r="A194" t="s">
        <v>2</v>
      </c>
      <c r="B194" t="s">
        <v>88</v>
      </c>
      <c r="C194" t="s">
        <v>89</v>
      </c>
      <c r="D194" t="s">
        <v>3</v>
      </c>
      <c r="E194" t="s">
        <v>117</v>
      </c>
      <c r="F194" t="s">
        <v>118</v>
      </c>
      <c r="G194" t="s">
        <v>6</v>
      </c>
      <c r="H194" t="s">
        <v>92</v>
      </c>
      <c r="J194">
        <v>50.333990059999998</v>
      </c>
      <c r="K194">
        <v>6.7668281370000001</v>
      </c>
      <c r="L194" t="s">
        <v>4</v>
      </c>
      <c r="M194">
        <v>0.13159180100000001</v>
      </c>
      <c r="N194">
        <v>0.13159180100000001</v>
      </c>
      <c r="O194">
        <v>0.115142825</v>
      </c>
      <c r="P194">
        <v>0.12481869299999999</v>
      </c>
      <c r="Q194">
        <v>0.114175239</v>
      </c>
      <c r="R194">
        <v>0.10449937099999999</v>
      </c>
      <c r="S194">
        <v>0.10449937099999999</v>
      </c>
    </row>
    <row r="195" spans="1:19" x14ac:dyDescent="0.25">
      <c r="A195" t="s">
        <v>2</v>
      </c>
      <c r="B195" t="s">
        <v>88</v>
      </c>
      <c r="C195" t="s">
        <v>89</v>
      </c>
      <c r="D195" t="s">
        <v>3</v>
      </c>
      <c r="E195" t="s">
        <v>119</v>
      </c>
      <c r="F195" t="s">
        <v>120</v>
      </c>
      <c r="G195" t="s">
        <v>6</v>
      </c>
      <c r="H195" t="s">
        <v>92</v>
      </c>
      <c r="J195">
        <v>49.601018850000003</v>
      </c>
      <c r="K195">
        <v>8.0413779420000004</v>
      </c>
      <c r="L195" t="s">
        <v>4</v>
      </c>
      <c r="M195">
        <v>0.52443019400000002</v>
      </c>
      <c r="N195">
        <v>0.52443019400000002</v>
      </c>
      <c r="O195">
        <v>0.45887642000000001</v>
      </c>
      <c r="P195">
        <v>0.49743746300000002</v>
      </c>
      <c r="Q195">
        <v>0.45502031500000001</v>
      </c>
      <c r="R195">
        <v>0.41645927199999999</v>
      </c>
      <c r="S195">
        <v>0.41645927199999999</v>
      </c>
    </row>
    <row r="196" spans="1:19" x14ac:dyDescent="0.25">
      <c r="A196" t="s">
        <v>2</v>
      </c>
      <c r="B196" t="s">
        <v>88</v>
      </c>
      <c r="C196" t="s">
        <v>89</v>
      </c>
      <c r="D196" t="s">
        <v>3</v>
      </c>
      <c r="E196" t="s">
        <v>121</v>
      </c>
      <c r="F196" t="s">
        <v>122</v>
      </c>
      <c r="G196" t="s">
        <v>6</v>
      </c>
      <c r="H196" t="s">
        <v>92</v>
      </c>
      <c r="J196">
        <v>47.790819620000001</v>
      </c>
      <c r="K196">
        <v>12.18159007</v>
      </c>
      <c r="L196" t="s">
        <v>4</v>
      </c>
      <c r="M196">
        <v>0.56116026799999996</v>
      </c>
      <c r="N196">
        <v>0.56116026799999996</v>
      </c>
      <c r="O196">
        <v>0.49101523499999999</v>
      </c>
      <c r="P196">
        <v>0.53227701900000002</v>
      </c>
      <c r="Q196">
        <v>0.48688905599999999</v>
      </c>
      <c r="R196">
        <v>0.44562727200000002</v>
      </c>
      <c r="S196">
        <v>0.44562727200000002</v>
      </c>
    </row>
    <row r="197" spans="1:19" x14ac:dyDescent="0.25">
      <c r="A197" t="s">
        <v>2</v>
      </c>
      <c r="B197" t="s">
        <v>88</v>
      </c>
      <c r="C197" t="s">
        <v>89</v>
      </c>
      <c r="D197" t="s">
        <v>3</v>
      </c>
      <c r="E197" t="s">
        <v>123</v>
      </c>
      <c r="F197" t="s">
        <v>124</v>
      </c>
      <c r="G197" t="s">
        <v>6</v>
      </c>
      <c r="H197" t="s">
        <v>92</v>
      </c>
      <c r="J197">
        <v>49.21283244</v>
      </c>
      <c r="K197">
        <v>12.028256949999999</v>
      </c>
      <c r="L197" t="s">
        <v>4</v>
      </c>
      <c r="M197">
        <v>0.65150501599999999</v>
      </c>
      <c r="N197">
        <v>0.65150501599999999</v>
      </c>
      <c r="O197">
        <v>0.57006688900000002</v>
      </c>
      <c r="P197">
        <v>0.617971669</v>
      </c>
      <c r="Q197">
        <v>0.56527641100000003</v>
      </c>
      <c r="R197">
        <v>0.51737162999999997</v>
      </c>
      <c r="S197">
        <v>0.51737162999999997</v>
      </c>
    </row>
    <row r="198" spans="1:19" x14ac:dyDescent="0.25">
      <c r="A198" t="s">
        <v>2</v>
      </c>
      <c r="B198" t="s">
        <v>88</v>
      </c>
      <c r="C198" t="s">
        <v>89</v>
      </c>
      <c r="D198" t="s">
        <v>3</v>
      </c>
      <c r="E198" t="s">
        <v>125</v>
      </c>
      <c r="F198" t="s">
        <v>126</v>
      </c>
      <c r="G198" t="s">
        <v>6</v>
      </c>
      <c r="H198" t="s">
        <v>92</v>
      </c>
      <c r="J198">
        <v>48.884912460000002</v>
      </c>
      <c r="K198">
        <v>10.99769729</v>
      </c>
      <c r="L198" t="s">
        <v>4</v>
      </c>
      <c r="M198">
        <v>0.225386106</v>
      </c>
      <c r="N198">
        <v>0.225386106</v>
      </c>
      <c r="O198">
        <v>0.197212842</v>
      </c>
      <c r="P198">
        <v>0.21378535000000001</v>
      </c>
      <c r="Q198">
        <v>0.195555592</v>
      </c>
      <c r="R198">
        <v>0.17898308399999999</v>
      </c>
      <c r="S198">
        <v>0.17898308399999999</v>
      </c>
    </row>
    <row r="199" spans="1:19" x14ac:dyDescent="0.25">
      <c r="A199" t="s">
        <v>2</v>
      </c>
      <c r="B199" t="s">
        <v>88</v>
      </c>
      <c r="C199" t="s">
        <v>89</v>
      </c>
      <c r="D199" t="s">
        <v>3</v>
      </c>
      <c r="E199" t="s">
        <v>127</v>
      </c>
      <c r="F199" t="s">
        <v>128</v>
      </c>
      <c r="G199" t="s">
        <v>6</v>
      </c>
      <c r="H199" t="s">
        <v>92</v>
      </c>
      <c r="J199">
        <v>49.808461000000001</v>
      </c>
      <c r="K199">
        <v>9.6178912790000002</v>
      </c>
      <c r="L199" t="s">
        <v>4</v>
      </c>
      <c r="M199">
        <v>0.470449379</v>
      </c>
      <c r="N199">
        <v>0.470449379</v>
      </c>
      <c r="O199">
        <v>0.41164320700000001</v>
      </c>
      <c r="P199">
        <v>0.44623507299999998</v>
      </c>
      <c r="Q199">
        <v>0.40818401999999998</v>
      </c>
      <c r="R199">
        <v>0.37359215400000001</v>
      </c>
      <c r="S199">
        <v>0.37359215400000001</v>
      </c>
    </row>
    <row r="200" spans="1:19" x14ac:dyDescent="0.25">
      <c r="A200" t="s">
        <v>2</v>
      </c>
      <c r="B200" t="s">
        <v>88</v>
      </c>
      <c r="C200" t="s">
        <v>89</v>
      </c>
      <c r="D200" t="s">
        <v>3</v>
      </c>
      <c r="E200" t="s">
        <v>127</v>
      </c>
      <c r="F200" t="s">
        <v>128</v>
      </c>
      <c r="G200" t="s">
        <v>6</v>
      </c>
      <c r="H200" t="s">
        <v>92</v>
      </c>
      <c r="J200">
        <v>49.955004879999997</v>
      </c>
      <c r="K200">
        <v>9.7685104519999992</v>
      </c>
      <c r="L200" t="s">
        <v>4</v>
      </c>
      <c r="M200">
        <v>0.42839917599999999</v>
      </c>
      <c r="N200">
        <v>0.42839917599999999</v>
      </c>
      <c r="O200">
        <v>0.37484927899999998</v>
      </c>
      <c r="P200">
        <v>0.40634921899999998</v>
      </c>
      <c r="Q200">
        <v>0.37169928499999999</v>
      </c>
      <c r="R200">
        <v>0.34019934600000001</v>
      </c>
      <c r="S200">
        <v>0.34019934600000001</v>
      </c>
    </row>
    <row r="201" spans="1:19" x14ac:dyDescent="0.25">
      <c r="A201" t="s">
        <v>2</v>
      </c>
      <c r="B201" t="s">
        <v>88</v>
      </c>
      <c r="C201" t="s">
        <v>89</v>
      </c>
      <c r="D201" t="s">
        <v>3</v>
      </c>
      <c r="E201" t="s">
        <v>129</v>
      </c>
      <c r="F201" t="s">
        <v>130</v>
      </c>
      <c r="G201" t="s">
        <v>6</v>
      </c>
      <c r="H201" t="s">
        <v>92</v>
      </c>
      <c r="J201">
        <v>48.776732469999999</v>
      </c>
      <c r="K201">
        <v>10.70031679</v>
      </c>
      <c r="L201" t="s">
        <v>4</v>
      </c>
      <c r="M201">
        <v>0.44225867600000002</v>
      </c>
      <c r="N201">
        <v>0.44225867600000002</v>
      </c>
      <c r="O201">
        <v>0.38697634199999997</v>
      </c>
      <c r="P201">
        <v>0.41949536199999998</v>
      </c>
      <c r="Q201">
        <v>0.38372444</v>
      </c>
      <c r="R201">
        <v>0.35120541900000002</v>
      </c>
      <c r="S201">
        <v>0.35120541900000002</v>
      </c>
    </row>
    <row r="202" spans="1:19" x14ac:dyDescent="0.25">
      <c r="A202" t="s">
        <v>2</v>
      </c>
      <c r="B202" t="s">
        <v>88</v>
      </c>
      <c r="C202" t="s">
        <v>89</v>
      </c>
      <c r="D202" t="s">
        <v>3</v>
      </c>
      <c r="E202" t="s">
        <v>131</v>
      </c>
      <c r="F202" t="s">
        <v>132</v>
      </c>
      <c r="G202" t="s">
        <v>6</v>
      </c>
      <c r="H202" t="s">
        <v>92</v>
      </c>
      <c r="J202">
        <v>52.489069260000001</v>
      </c>
      <c r="K202">
        <v>13.836929169999999</v>
      </c>
      <c r="L202" t="s">
        <v>4</v>
      </c>
      <c r="M202">
        <v>0.96694575999999999</v>
      </c>
      <c r="N202">
        <v>0.96694575999999999</v>
      </c>
      <c r="O202">
        <v>0.84607754000000002</v>
      </c>
      <c r="P202">
        <v>0.91717649300000004</v>
      </c>
      <c r="Q202">
        <v>0.83896764499999998</v>
      </c>
      <c r="R202">
        <v>0.76786869199999996</v>
      </c>
      <c r="S202">
        <v>0.76786869199999996</v>
      </c>
    </row>
    <row r="203" spans="1:19" x14ac:dyDescent="0.25">
      <c r="A203" t="s">
        <v>2</v>
      </c>
      <c r="B203" t="s">
        <v>88</v>
      </c>
      <c r="C203" t="s">
        <v>89</v>
      </c>
      <c r="D203" t="s">
        <v>3</v>
      </c>
      <c r="E203" t="s">
        <v>133</v>
      </c>
      <c r="F203" t="s">
        <v>134</v>
      </c>
      <c r="G203" t="s">
        <v>6</v>
      </c>
      <c r="H203" t="s">
        <v>92</v>
      </c>
      <c r="J203">
        <v>51.816375209999997</v>
      </c>
      <c r="K203">
        <v>11.7496466</v>
      </c>
      <c r="L203" t="s">
        <v>4</v>
      </c>
      <c r="M203">
        <v>0.50412187399999997</v>
      </c>
      <c r="N203">
        <v>0.50412187399999997</v>
      </c>
      <c r="O203">
        <v>0.44110663999999999</v>
      </c>
      <c r="P203">
        <v>0.47817442500000001</v>
      </c>
      <c r="Q203">
        <v>0.437399861</v>
      </c>
      <c r="R203">
        <v>0.40033207599999998</v>
      </c>
      <c r="S203">
        <v>0.40033207599999998</v>
      </c>
    </row>
    <row r="204" spans="1:19" x14ac:dyDescent="0.25">
      <c r="A204" t="s">
        <v>2</v>
      </c>
      <c r="B204" t="s">
        <v>88</v>
      </c>
      <c r="C204" t="s">
        <v>89</v>
      </c>
      <c r="D204" t="s">
        <v>3</v>
      </c>
      <c r="E204" t="s">
        <v>135</v>
      </c>
      <c r="F204" t="s">
        <v>136</v>
      </c>
      <c r="G204" t="s">
        <v>6</v>
      </c>
      <c r="H204" t="s">
        <v>92</v>
      </c>
      <c r="J204">
        <v>51.271111779999998</v>
      </c>
      <c r="K204">
        <v>11.654702629999999</v>
      </c>
      <c r="L204" t="s">
        <v>4</v>
      </c>
      <c r="M204">
        <v>0.69072057200000003</v>
      </c>
      <c r="N204">
        <v>0.69072057200000003</v>
      </c>
      <c r="O204">
        <v>0.60438050099999996</v>
      </c>
      <c r="P204">
        <v>0.65516877799999995</v>
      </c>
      <c r="Q204">
        <v>0.59930167300000003</v>
      </c>
      <c r="R204">
        <v>0.54851339600000004</v>
      </c>
      <c r="S204">
        <v>0.54851339600000004</v>
      </c>
    </row>
    <row r="205" spans="1:19" x14ac:dyDescent="0.25">
      <c r="A205" t="s">
        <v>2</v>
      </c>
      <c r="B205" t="s">
        <v>88</v>
      </c>
      <c r="C205" t="s">
        <v>89</v>
      </c>
      <c r="D205" t="s">
        <v>3</v>
      </c>
      <c r="E205" t="s">
        <v>137</v>
      </c>
      <c r="F205" t="s">
        <v>138</v>
      </c>
      <c r="G205" t="s">
        <v>6</v>
      </c>
      <c r="H205" t="s">
        <v>92</v>
      </c>
      <c r="J205">
        <v>51.362759730000001</v>
      </c>
      <c r="K205">
        <v>10.483568269999999</v>
      </c>
      <c r="L205" t="s">
        <v>4</v>
      </c>
      <c r="M205">
        <v>0.78788028099999996</v>
      </c>
      <c r="N205">
        <v>0.78788028099999996</v>
      </c>
      <c r="O205">
        <v>0.68939524600000002</v>
      </c>
      <c r="P205">
        <v>0.74732761999999997</v>
      </c>
      <c r="Q205">
        <v>0.68360200900000001</v>
      </c>
      <c r="R205">
        <v>0.62566963499999995</v>
      </c>
      <c r="S205">
        <v>0.62566963499999995</v>
      </c>
    </row>
    <row r="206" spans="1:19" x14ac:dyDescent="0.25">
      <c r="A206" t="s">
        <v>2</v>
      </c>
      <c r="B206" t="s">
        <v>88</v>
      </c>
      <c r="C206" t="s">
        <v>89</v>
      </c>
      <c r="D206" t="s">
        <v>3</v>
      </c>
      <c r="E206" t="s">
        <v>105</v>
      </c>
      <c r="F206" t="s">
        <v>106</v>
      </c>
      <c r="G206" t="s">
        <v>6</v>
      </c>
      <c r="H206" t="s">
        <v>92</v>
      </c>
      <c r="J206">
        <v>51.760245959999999</v>
      </c>
      <c r="K206">
        <v>8.0731712420000008</v>
      </c>
      <c r="L206" t="s">
        <v>4</v>
      </c>
      <c r="M206">
        <v>0.213463614</v>
      </c>
      <c r="N206">
        <v>0.213463614</v>
      </c>
      <c r="O206">
        <v>0.18678066199999999</v>
      </c>
      <c r="P206">
        <v>0.202476516</v>
      </c>
      <c r="Q206">
        <v>0.185211076</v>
      </c>
      <c r="R206">
        <v>0.16951522299999999</v>
      </c>
      <c r="S206">
        <v>0.16951522299999999</v>
      </c>
    </row>
    <row r="207" spans="1:19" x14ac:dyDescent="0.25">
      <c r="A207" t="s">
        <v>2</v>
      </c>
      <c r="B207" t="s">
        <v>88</v>
      </c>
      <c r="C207" t="s">
        <v>89</v>
      </c>
      <c r="D207" t="s">
        <v>3</v>
      </c>
      <c r="E207" t="s">
        <v>115</v>
      </c>
      <c r="F207" t="s">
        <v>116</v>
      </c>
      <c r="G207" t="s">
        <v>139</v>
      </c>
      <c r="H207" t="s">
        <v>92</v>
      </c>
      <c r="J207">
        <v>50.584319999999998</v>
      </c>
      <c r="K207">
        <v>9.5092449999999999</v>
      </c>
      <c r="L207" t="s">
        <v>4</v>
      </c>
      <c r="M207">
        <v>3.3370271E-2</v>
      </c>
      <c r="N207">
        <v>2.5954655E-2</v>
      </c>
      <c r="O207">
        <v>3.1145585999999999E-2</v>
      </c>
      <c r="P207">
        <v>2.5954655E-2</v>
      </c>
      <c r="Q207">
        <v>2.3729970999999999E-2</v>
      </c>
      <c r="R207">
        <v>2.2246847E-2</v>
      </c>
      <c r="S207">
        <v>2.2246847E-2</v>
      </c>
    </row>
    <row r="208" spans="1:19" x14ac:dyDescent="0.25">
      <c r="A208" t="s">
        <v>2</v>
      </c>
      <c r="B208" t="s">
        <v>88</v>
      </c>
      <c r="C208" t="s">
        <v>89</v>
      </c>
      <c r="D208" t="s">
        <v>3</v>
      </c>
      <c r="E208" t="s">
        <v>140</v>
      </c>
      <c r="F208" t="s">
        <v>141</v>
      </c>
      <c r="G208" t="s">
        <v>139</v>
      </c>
      <c r="H208" t="s">
        <v>92</v>
      </c>
      <c r="J208">
        <v>50.808852000000002</v>
      </c>
      <c r="K208">
        <v>12.09295</v>
      </c>
      <c r="L208" t="s">
        <v>4</v>
      </c>
      <c r="M208">
        <v>5.3444485999999999E-2</v>
      </c>
      <c r="N208">
        <v>4.1567934000000001E-2</v>
      </c>
      <c r="O208">
        <v>4.9881519999999999E-2</v>
      </c>
      <c r="P208">
        <v>4.1567934000000001E-2</v>
      </c>
      <c r="Q208">
        <v>3.8004968E-2</v>
      </c>
      <c r="R208">
        <v>3.5629657000000002E-2</v>
      </c>
      <c r="S208">
        <v>3.5629657000000002E-2</v>
      </c>
    </row>
    <row r="209" spans="1:19" x14ac:dyDescent="0.25">
      <c r="A209" t="s">
        <v>2</v>
      </c>
      <c r="B209" t="s">
        <v>88</v>
      </c>
      <c r="C209" t="s">
        <v>89</v>
      </c>
      <c r="D209" t="s">
        <v>3</v>
      </c>
      <c r="E209" t="s">
        <v>142</v>
      </c>
      <c r="F209" t="s">
        <v>143</v>
      </c>
      <c r="G209" t="s">
        <v>139</v>
      </c>
      <c r="H209" t="s">
        <v>92</v>
      </c>
      <c r="J209">
        <v>51.647706999999997</v>
      </c>
      <c r="K209">
        <v>10.087452000000001</v>
      </c>
      <c r="L209" t="s">
        <v>4</v>
      </c>
      <c r="M209">
        <v>2.4607026000000001E-2</v>
      </c>
      <c r="N209">
        <v>1.9138797999999999E-2</v>
      </c>
      <c r="O209">
        <v>2.2966558000000001E-2</v>
      </c>
      <c r="P209">
        <v>1.9138797999999999E-2</v>
      </c>
      <c r="Q209">
        <v>1.7498329999999999E-2</v>
      </c>
      <c r="R209">
        <v>1.6404683999999999E-2</v>
      </c>
      <c r="S209">
        <v>1.6404683999999999E-2</v>
      </c>
    </row>
    <row r="210" spans="1:19" x14ac:dyDescent="0.25">
      <c r="A210" t="s">
        <v>2</v>
      </c>
      <c r="B210" t="s">
        <v>88</v>
      </c>
      <c r="C210" t="s">
        <v>89</v>
      </c>
      <c r="D210" t="s">
        <v>3</v>
      </c>
      <c r="E210" t="s">
        <v>131</v>
      </c>
      <c r="F210" t="s">
        <v>132</v>
      </c>
      <c r="G210" t="s">
        <v>139</v>
      </c>
      <c r="H210" t="s">
        <v>92</v>
      </c>
      <c r="J210">
        <v>52.490088</v>
      </c>
      <c r="K210">
        <v>13.838051</v>
      </c>
      <c r="L210" t="s">
        <v>4</v>
      </c>
      <c r="M210">
        <v>9.4549258999999997E-2</v>
      </c>
      <c r="N210">
        <v>7.3538312999999994E-2</v>
      </c>
      <c r="O210">
        <v>8.8245976000000004E-2</v>
      </c>
      <c r="P210">
        <v>7.3538312999999994E-2</v>
      </c>
      <c r="Q210">
        <v>6.7235029000000002E-2</v>
      </c>
      <c r="R210">
        <v>6.3032840000000007E-2</v>
      </c>
      <c r="S210">
        <v>6.3032840000000007E-2</v>
      </c>
    </row>
    <row r="211" spans="1:19" x14ac:dyDescent="0.25">
      <c r="A211" t="s">
        <v>2</v>
      </c>
      <c r="B211" t="s">
        <v>88</v>
      </c>
      <c r="C211" t="s">
        <v>89</v>
      </c>
      <c r="D211" t="s">
        <v>3</v>
      </c>
      <c r="E211" t="s">
        <v>144</v>
      </c>
      <c r="F211" t="s">
        <v>145</v>
      </c>
      <c r="G211" t="s">
        <v>139</v>
      </c>
      <c r="H211" t="s">
        <v>92</v>
      </c>
      <c r="J211">
        <v>51.844586</v>
      </c>
      <c r="K211">
        <v>10.18979</v>
      </c>
      <c r="L211" t="s">
        <v>4</v>
      </c>
      <c r="M211">
        <v>0.153462079</v>
      </c>
      <c r="N211">
        <v>0.11935939499999999</v>
      </c>
      <c r="O211">
        <v>0.14323127399999999</v>
      </c>
      <c r="P211">
        <v>0.11935939499999999</v>
      </c>
      <c r="Q211">
        <v>0.109128589</v>
      </c>
      <c r="R211">
        <v>0.102308053</v>
      </c>
      <c r="S211">
        <v>0.102308053</v>
      </c>
    </row>
    <row r="212" spans="1:19" x14ac:dyDescent="0.25">
      <c r="A212" t="s">
        <v>2</v>
      </c>
      <c r="B212" t="s">
        <v>88</v>
      </c>
      <c r="C212" t="s">
        <v>89</v>
      </c>
      <c r="D212" t="s">
        <v>3</v>
      </c>
      <c r="E212" t="s">
        <v>146</v>
      </c>
      <c r="F212" t="s">
        <v>147</v>
      </c>
      <c r="G212" t="s">
        <v>139</v>
      </c>
      <c r="H212" t="s">
        <v>92</v>
      </c>
      <c r="J212">
        <v>48.890949999999997</v>
      </c>
      <c r="K212">
        <v>11.932119999999999</v>
      </c>
      <c r="L212" t="s">
        <v>4</v>
      </c>
      <c r="M212">
        <v>0.14012201499999999</v>
      </c>
      <c r="N212">
        <v>0.108983789</v>
      </c>
      <c r="O212">
        <v>0.130780547</v>
      </c>
      <c r="P212">
        <v>0.108983789</v>
      </c>
      <c r="Q212">
        <v>9.9642322000000005E-2</v>
      </c>
      <c r="R212">
        <v>9.3414677000000002E-2</v>
      </c>
      <c r="S212">
        <v>9.3414677000000002E-2</v>
      </c>
    </row>
    <row r="213" spans="1:19" x14ac:dyDescent="0.25">
      <c r="A213" t="s">
        <v>2</v>
      </c>
      <c r="B213" t="s">
        <v>88</v>
      </c>
      <c r="C213" t="s">
        <v>89</v>
      </c>
      <c r="D213" t="s">
        <v>3</v>
      </c>
      <c r="E213" t="s">
        <v>148</v>
      </c>
      <c r="F213" t="s">
        <v>149</v>
      </c>
      <c r="G213" t="s">
        <v>139</v>
      </c>
      <c r="H213" t="s">
        <v>92</v>
      </c>
      <c r="J213">
        <v>51.247683000000002</v>
      </c>
      <c r="K213">
        <v>7.0445830000000003</v>
      </c>
      <c r="L213" t="s">
        <v>4</v>
      </c>
      <c r="M213">
        <v>0.11501481299999999</v>
      </c>
      <c r="N213">
        <v>8.9455965999999998E-2</v>
      </c>
      <c r="O213">
        <v>0.107347159</v>
      </c>
      <c r="P213">
        <v>8.9455965999999998E-2</v>
      </c>
      <c r="Q213">
        <v>8.1788312000000002E-2</v>
      </c>
      <c r="R213">
        <v>7.6676542E-2</v>
      </c>
      <c r="S213">
        <v>7.6676542E-2</v>
      </c>
    </row>
    <row r="214" spans="1:19" x14ac:dyDescent="0.25">
      <c r="A214" t="s">
        <v>2</v>
      </c>
      <c r="B214" t="s">
        <v>88</v>
      </c>
      <c r="C214" t="s">
        <v>89</v>
      </c>
      <c r="D214" t="s">
        <v>3</v>
      </c>
      <c r="E214" t="s">
        <v>150</v>
      </c>
      <c r="F214" t="s">
        <v>151</v>
      </c>
      <c r="G214" t="s">
        <v>139</v>
      </c>
      <c r="H214" t="s">
        <v>92</v>
      </c>
      <c r="J214">
        <v>51.755471</v>
      </c>
      <c r="K214">
        <v>10.825817000000001</v>
      </c>
      <c r="L214" t="s">
        <v>4</v>
      </c>
      <c r="M214">
        <v>0.388301813</v>
      </c>
      <c r="N214">
        <v>0.30201252200000001</v>
      </c>
      <c r="O214">
        <v>0.36241502599999997</v>
      </c>
      <c r="P214">
        <v>0.30201252200000001</v>
      </c>
      <c r="Q214">
        <v>0.27612573400000001</v>
      </c>
      <c r="R214">
        <v>0.258867876</v>
      </c>
      <c r="S214">
        <v>0.258867876</v>
      </c>
    </row>
    <row r="215" spans="1:19" x14ac:dyDescent="0.25">
      <c r="A215" t="s">
        <v>2</v>
      </c>
      <c r="B215" t="s">
        <v>88</v>
      </c>
      <c r="C215" t="s">
        <v>89</v>
      </c>
      <c r="D215" t="s">
        <v>3</v>
      </c>
      <c r="E215" t="s">
        <v>152</v>
      </c>
      <c r="F215" t="s">
        <v>153</v>
      </c>
      <c r="G215" t="s">
        <v>139</v>
      </c>
      <c r="H215" t="s">
        <v>92</v>
      </c>
      <c r="J215">
        <v>47.658802999999999</v>
      </c>
      <c r="K215">
        <v>7.5460190000000003</v>
      </c>
      <c r="L215" t="s">
        <v>4</v>
      </c>
      <c r="M215">
        <v>8.5133941000000005E-2</v>
      </c>
      <c r="N215">
        <v>6.6215286999999998E-2</v>
      </c>
      <c r="O215">
        <v>7.9458345E-2</v>
      </c>
      <c r="P215">
        <v>6.6215286999999998E-2</v>
      </c>
      <c r="Q215">
        <v>6.0539691E-2</v>
      </c>
      <c r="R215">
        <v>5.6755960000000001E-2</v>
      </c>
      <c r="S215">
        <v>5.6755960000000001E-2</v>
      </c>
    </row>
    <row r="216" spans="1:19" x14ac:dyDescent="0.25">
      <c r="A216" t="s">
        <v>2</v>
      </c>
      <c r="B216" t="s">
        <v>88</v>
      </c>
      <c r="C216" t="s">
        <v>89</v>
      </c>
      <c r="D216" t="s">
        <v>3</v>
      </c>
      <c r="E216" t="s">
        <v>146</v>
      </c>
      <c r="F216" t="s">
        <v>147</v>
      </c>
      <c r="G216" t="s">
        <v>139</v>
      </c>
      <c r="H216" t="s">
        <v>92</v>
      </c>
      <c r="J216">
        <v>49.008715000000002</v>
      </c>
      <c r="K216">
        <v>11.824687000000001</v>
      </c>
      <c r="L216" t="s">
        <v>4</v>
      </c>
      <c r="M216">
        <v>0.14012201499999999</v>
      </c>
      <c r="N216">
        <v>0.108983789</v>
      </c>
      <c r="O216">
        <v>0.130780547</v>
      </c>
      <c r="P216">
        <v>0.108983789</v>
      </c>
      <c r="Q216">
        <v>9.9642322000000005E-2</v>
      </c>
      <c r="R216">
        <v>9.3414677000000002E-2</v>
      </c>
      <c r="S216">
        <v>9.3414677000000002E-2</v>
      </c>
    </row>
    <row r="217" spans="1:19" x14ac:dyDescent="0.25">
      <c r="A217" t="s">
        <v>2</v>
      </c>
      <c r="B217" t="s">
        <v>88</v>
      </c>
      <c r="C217" t="s">
        <v>89</v>
      </c>
      <c r="D217" t="s">
        <v>3</v>
      </c>
      <c r="E217" t="s">
        <v>154</v>
      </c>
      <c r="F217" t="s">
        <v>155</v>
      </c>
      <c r="G217" t="s">
        <v>139</v>
      </c>
      <c r="H217" t="s">
        <v>92</v>
      </c>
      <c r="J217">
        <v>51.140329999999999</v>
      </c>
      <c r="K217">
        <v>8.025404</v>
      </c>
      <c r="L217" t="s">
        <v>4</v>
      </c>
      <c r="M217">
        <v>2.4596616000000002E-2</v>
      </c>
      <c r="N217">
        <v>1.9130701E-2</v>
      </c>
      <c r="O217">
        <v>2.2956840999999999E-2</v>
      </c>
      <c r="P217">
        <v>1.9130701E-2</v>
      </c>
      <c r="Q217">
        <v>1.7490927E-2</v>
      </c>
      <c r="R217">
        <v>1.6397743999999999E-2</v>
      </c>
      <c r="S217">
        <v>1.6397743999999999E-2</v>
      </c>
    </row>
    <row r="218" spans="1:19" x14ac:dyDescent="0.25">
      <c r="A218" t="s">
        <v>2</v>
      </c>
      <c r="B218" t="s">
        <v>88</v>
      </c>
      <c r="C218" t="s">
        <v>89</v>
      </c>
      <c r="D218" t="s">
        <v>3</v>
      </c>
      <c r="E218" t="s">
        <v>156</v>
      </c>
      <c r="F218" t="s">
        <v>157</v>
      </c>
      <c r="G218" t="s">
        <v>139</v>
      </c>
      <c r="H218" t="s">
        <v>92</v>
      </c>
      <c r="J218">
        <v>50.419099000000003</v>
      </c>
      <c r="K218">
        <v>8.1118000000000006</v>
      </c>
      <c r="L218" t="s">
        <v>4</v>
      </c>
      <c r="M218">
        <v>0.13685265599999999</v>
      </c>
      <c r="N218">
        <v>0.106440954</v>
      </c>
      <c r="O218">
        <v>0.12772914499999999</v>
      </c>
      <c r="P218">
        <v>0.106440954</v>
      </c>
      <c r="Q218">
        <v>9.7317444000000003E-2</v>
      </c>
      <c r="R218">
        <v>9.1235103999999997E-2</v>
      </c>
      <c r="S218">
        <v>9.1235103999999997E-2</v>
      </c>
    </row>
    <row r="219" spans="1:19" x14ac:dyDescent="0.25">
      <c r="A219" t="s">
        <v>2</v>
      </c>
      <c r="B219" t="s">
        <v>88</v>
      </c>
      <c r="C219" t="s">
        <v>89</v>
      </c>
      <c r="D219" t="s">
        <v>3</v>
      </c>
      <c r="E219" t="s">
        <v>158</v>
      </c>
      <c r="F219" t="s">
        <v>159</v>
      </c>
      <c r="G219" t="s">
        <v>139</v>
      </c>
      <c r="H219" t="s">
        <v>92</v>
      </c>
      <c r="J219">
        <v>50.317605</v>
      </c>
      <c r="K219">
        <v>8.0657010000000007</v>
      </c>
      <c r="L219" t="s">
        <v>4</v>
      </c>
      <c r="M219">
        <v>0.14754278300000001</v>
      </c>
      <c r="N219">
        <v>0.114755498</v>
      </c>
      <c r="O219">
        <v>0.13770659800000001</v>
      </c>
      <c r="P219">
        <v>0.114755498</v>
      </c>
      <c r="Q219">
        <v>0.104919313</v>
      </c>
      <c r="R219">
        <v>9.8361855999999998E-2</v>
      </c>
      <c r="S219">
        <v>9.8361855999999998E-2</v>
      </c>
    </row>
    <row r="220" spans="1:19" x14ac:dyDescent="0.25">
      <c r="A220" t="s">
        <v>2</v>
      </c>
      <c r="B220" t="s">
        <v>88</v>
      </c>
      <c r="C220" t="s">
        <v>89</v>
      </c>
      <c r="D220" t="s">
        <v>3</v>
      </c>
      <c r="E220" t="s">
        <v>111</v>
      </c>
      <c r="F220" t="s">
        <v>112</v>
      </c>
      <c r="G220" t="s">
        <v>139</v>
      </c>
      <c r="H220" t="s">
        <v>92</v>
      </c>
      <c r="J220">
        <v>51.436858999999998</v>
      </c>
      <c r="K220">
        <v>8.3738720000000004</v>
      </c>
      <c r="L220" t="s">
        <v>4</v>
      </c>
      <c r="M220">
        <v>6.9950278000000005E-2</v>
      </c>
      <c r="N220">
        <v>5.4405771999999998E-2</v>
      </c>
      <c r="O220">
        <v>6.5286925999999995E-2</v>
      </c>
      <c r="P220">
        <v>5.4405771999999998E-2</v>
      </c>
      <c r="Q220">
        <v>4.9742420000000002E-2</v>
      </c>
      <c r="R220">
        <v>4.6633518999999998E-2</v>
      </c>
      <c r="S220">
        <v>4.6633518999999998E-2</v>
      </c>
    </row>
    <row r="221" spans="1:19" x14ac:dyDescent="0.25">
      <c r="A221" t="s">
        <v>2</v>
      </c>
      <c r="B221" t="s">
        <v>88</v>
      </c>
      <c r="C221" t="s">
        <v>89</v>
      </c>
      <c r="D221" t="s">
        <v>3</v>
      </c>
      <c r="E221" t="s">
        <v>160</v>
      </c>
      <c r="F221" t="s">
        <v>161</v>
      </c>
      <c r="G221" t="s">
        <v>139</v>
      </c>
      <c r="H221" t="s">
        <v>92</v>
      </c>
      <c r="J221">
        <v>49.029909000000004</v>
      </c>
      <c r="K221">
        <v>12.1388</v>
      </c>
      <c r="L221" t="s">
        <v>4</v>
      </c>
      <c r="M221">
        <v>7.8780244999999999E-2</v>
      </c>
      <c r="N221">
        <v>6.1273524000000003E-2</v>
      </c>
      <c r="O221">
        <v>7.3528228000000001E-2</v>
      </c>
      <c r="P221">
        <v>6.1273524000000003E-2</v>
      </c>
      <c r="Q221">
        <v>5.6021506999999998E-2</v>
      </c>
      <c r="R221">
        <v>5.2520163000000002E-2</v>
      </c>
      <c r="S221">
        <v>5.2520163000000002E-2</v>
      </c>
    </row>
    <row r="222" spans="1:19" x14ac:dyDescent="0.25">
      <c r="A222" t="s">
        <v>2</v>
      </c>
      <c r="B222" t="s">
        <v>88</v>
      </c>
      <c r="C222" t="s">
        <v>89</v>
      </c>
      <c r="D222" t="s">
        <v>3</v>
      </c>
      <c r="E222" t="s">
        <v>117</v>
      </c>
      <c r="F222" t="s">
        <v>118</v>
      </c>
      <c r="G222" t="s">
        <v>139</v>
      </c>
      <c r="H222" t="s">
        <v>92</v>
      </c>
      <c r="J222">
        <v>50.334173999999997</v>
      </c>
      <c r="K222">
        <v>6.7668109999999997</v>
      </c>
      <c r="L222" t="s">
        <v>4</v>
      </c>
      <c r="M222">
        <v>2.570391E-2</v>
      </c>
      <c r="N222">
        <v>1.9991930000000002E-2</v>
      </c>
      <c r="O222">
        <v>2.3990316000000001E-2</v>
      </c>
      <c r="P222">
        <v>1.9991930000000002E-2</v>
      </c>
      <c r="Q222">
        <v>1.8278335999999999E-2</v>
      </c>
      <c r="R222">
        <v>1.7135939999999999E-2</v>
      </c>
      <c r="S222">
        <v>1.7135939999999999E-2</v>
      </c>
    </row>
    <row r="223" spans="1:19" x14ac:dyDescent="0.25">
      <c r="A223" t="s">
        <v>2</v>
      </c>
      <c r="B223" t="s">
        <v>88</v>
      </c>
      <c r="C223" t="s">
        <v>89</v>
      </c>
      <c r="D223" t="s">
        <v>3</v>
      </c>
      <c r="E223" t="s">
        <v>162</v>
      </c>
      <c r="F223" t="s">
        <v>163</v>
      </c>
      <c r="G223" t="s">
        <v>139</v>
      </c>
      <c r="H223" t="s">
        <v>92</v>
      </c>
      <c r="J223">
        <v>52.040866999999999</v>
      </c>
      <c r="K223">
        <v>8.3994090000000003</v>
      </c>
      <c r="L223" t="s">
        <v>4</v>
      </c>
      <c r="M223">
        <v>4.4982670000000002E-3</v>
      </c>
      <c r="N223">
        <v>3.4986520000000001E-3</v>
      </c>
      <c r="O223">
        <v>4.198383E-3</v>
      </c>
      <c r="P223">
        <v>3.4986520000000001E-3</v>
      </c>
      <c r="Q223">
        <v>3.1987679999999998E-3</v>
      </c>
      <c r="R223">
        <v>2.998845E-3</v>
      </c>
      <c r="S223">
        <v>2.998845E-3</v>
      </c>
    </row>
    <row r="224" spans="1:19" x14ac:dyDescent="0.25">
      <c r="A224" t="s">
        <v>2</v>
      </c>
      <c r="B224" t="s">
        <v>88</v>
      </c>
      <c r="C224" t="s">
        <v>89</v>
      </c>
      <c r="D224" t="s">
        <v>3</v>
      </c>
      <c r="E224" t="s">
        <v>117</v>
      </c>
      <c r="F224" t="s">
        <v>118</v>
      </c>
      <c r="G224" t="s">
        <v>139</v>
      </c>
      <c r="H224" t="s">
        <v>92</v>
      </c>
      <c r="J224">
        <v>50.230564000000001</v>
      </c>
      <c r="K224">
        <v>6.6829239999999999</v>
      </c>
      <c r="L224" t="s">
        <v>4</v>
      </c>
      <c r="M224">
        <v>1.29658E-4</v>
      </c>
      <c r="N224">
        <v>1.00845E-4</v>
      </c>
      <c r="O224">
        <v>1.21014E-4</v>
      </c>
      <c r="P224">
        <v>1.00845E-4</v>
      </c>
      <c r="Q224" s="100">
        <v>9.2200999999999994E-5</v>
      </c>
      <c r="R224" s="100">
        <v>8.6438400000000002E-5</v>
      </c>
      <c r="S224" s="100">
        <v>8.6438400000000002E-5</v>
      </c>
    </row>
    <row r="225" spans="1:19" x14ac:dyDescent="0.25">
      <c r="A225" t="s">
        <v>2</v>
      </c>
      <c r="B225" t="s">
        <v>88</v>
      </c>
      <c r="C225" t="s">
        <v>89</v>
      </c>
      <c r="D225" t="s">
        <v>3</v>
      </c>
      <c r="E225" t="s">
        <v>164</v>
      </c>
      <c r="F225" t="s">
        <v>165</v>
      </c>
      <c r="G225" t="s">
        <v>139</v>
      </c>
      <c r="H225" t="s">
        <v>92</v>
      </c>
      <c r="J225">
        <v>51.296801000000002</v>
      </c>
      <c r="K225">
        <v>7.0149359999999996</v>
      </c>
      <c r="L225" t="s">
        <v>4</v>
      </c>
      <c r="M225">
        <v>0.91869605899999995</v>
      </c>
      <c r="N225">
        <v>0.71454137900000003</v>
      </c>
      <c r="O225">
        <v>0.85744965500000003</v>
      </c>
      <c r="P225">
        <v>0.71454137900000003</v>
      </c>
      <c r="Q225">
        <v>0.653294975</v>
      </c>
      <c r="R225">
        <v>0.61246403900000002</v>
      </c>
      <c r="S225">
        <v>0.61246403900000002</v>
      </c>
    </row>
    <row r="226" spans="1:19" x14ac:dyDescent="0.25">
      <c r="A226" t="s">
        <v>2</v>
      </c>
      <c r="B226" t="s">
        <v>88</v>
      </c>
      <c r="C226" t="s">
        <v>89</v>
      </c>
      <c r="D226" t="s">
        <v>3</v>
      </c>
      <c r="E226" t="s">
        <v>166</v>
      </c>
      <c r="F226" t="s">
        <v>167</v>
      </c>
      <c r="G226" t="s">
        <v>139</v>
      </c>
      <c r="H226" t="s">
        <v>92</v>
      </c>
      <c r="J226">
        <v>51.394948999999997</v>
      </c>
      <c r="K226">
        <v>8.6849950000000007</v>
      </c>
      <c r="L226" t="s">
        <v>4</v>
      </c>
      <c r="M226">
        <v>3.2763151999999997E-2</v>
      </c>
      <c r="N226">
        <v>2.5482451E-2</v>
      </c>
      <c r="O226">
        <v>3.0578942000000001E-2</v>
      </c>
      <c r="P226">
        <v>2.5482451E-2</v>
      </c>
      <c r="Q226">
        <v>2.3298241000000001E-2</v>
      </c>
      <c r="R226">
        <v>2.1842100999999999E-2</v>
      </c>
      <c r="S226">
        <v>2.1842100999999999E-2</v>
      </c>
    </row>
    <row r="227" spans="1:19" x14ac:dyDescent="0.25">
      <c r="A227" t="s">
        <v>2</v>
      </c>
      <c r="B227" t="s">
        <v>88</v>
      </c>
      <c r="C227" t="s">
        <v>89</v>
      </c>
      <c r="D227" t="s">
        <v>3</v>
      </c>
      <c r="E227" t="s">
        <v>168</v>
      </c>
      <c r="F227" t="s">
        <v>169</v>
      </c>
      <c r="G227" t="s">
        <v>139</v>
      </c>
      <c r="H227" t="s">
        <v>92</v>
      </c>
      <c r="J227">
        <v>51.397084999999997</v>
      </c>
      <c r="K227">
        <v>7.8406979999999997</v>
      </c>
      <c r="L227" t="s">
        <v>4</v>
      </c>
      <c r="M227">
        <v>0.39661315000000003</v>
      </c>
      <c r="N227">
        <v>0.308476894</v>
      </c>
      <c r="O227">
        <v>0.370172273</v>
      </c>
      <c r="P227">
        <v>0.308476894</v>
      </c>
      <c r="Q227">
        <v>0.282036018</v>
      </c>
      <c r="R227">
        <v>0.26440876699999999</v>
      </c>
      <c r="S227">
        <v>0.26440876699999999</v>
      </c>
    </row>
    <row r="228" spans="1:19" x14ac:dyDescent="0.25">
      <c r="A228" t="s">
        <v>2</v>
      </c>
      <c r="B228" t="s">
        <v>88</v>
      </c>
      <c r="C228" t="s">
        <v>89</v>
      </c>
      <c r="D228" t="s">
        <v>3</v>
      </c>
      <c r="E228" t="s">
        <v>170</v>
      </c>
      <c r="F228" t="s">
        <v>171</v>
      </c>
      <c r="G228" t="s">
        <v>139</v>
      </c>
      <c r="H228" t="s">
        <v>92</v>
      </c>
      <c r="J228">
        <v>52.059196999999998</v>
      </c>
      <c r="K228">
        <v>9.5886659999999999</v>
      </c>
      <c r="L228" t="s">
        <v>4</v>
      </c>
      <c r="M228">
        <v>4.9156319999999996E-3</v>
      </c>
      <c r="N228">
        <v>3.8232689999999998E-3</v>
      </c>
      <c r="O228">
        <v>4.5879229999999998E-3</v>
      </c>
      <c r="P228">
        <v>3.8232689999999998E-3</v>
      </c>
      <c r="Q228">
        <v>3.4955609999999999E-3</v>
      </c>
      <c r="R228">
        <v>3.277088E-3</v>
      </c>
      <c r="S228">
        <v>3.277088E-3</v>
      </c>
    </row>
    <row r="229" spans="1:19" x14ac:dyDescent="0.25">
      <c r="A229" t="s">
        <v>2</v>
      </c>
      <c r="B229" t="s">
        <v>88</v>
      </c>
      <c r="C229" t="s">
        <v>89</v>
      </c>
      <c r="D229" t="s">
        <v>3</v>
      </c>
      <c r="E229" t="s">
        <v>107</v>
      </c>
      <c r="F229" t="s">
        <v>108</v>
      </c>
      <c r="G229" t="s">
        <v>139</v>
      </c>
      <c r="H229" t="s">
        <v>92</v>
      </c>
      <c r="J229">
        <v>52.264046999999998</v>
      </c>
      <c r="K229">
        <v>7.3968769999999999</v>
      </c>
      <c r="L229" t="s">
        <v>4</v>
      </c>
      <c r="M229">
        <v>1.1933704999999999E-2</v>
      </c>
      <c r="N229">
        <v>9.28177E-3</v>
      </c>
      <c r="O229">
        <v>1.1138125E-2</v>
      </c>
      <c r="P229">
        <v>9.28177E-3</v>
      </c>
      <c r="Q229">
        <v>8.4861899999999994E-3</v>
      </c>
      <c r="R229">
        <v>7.9558029999999991E-3</v>
      </c>
      <c r="S229">
        <v>7.9558029999999991E-3</v>
      </c>
    </row>
    <row r="230" spans="1:19" x14ac:dyDescent="0.25">
      <c r="A230" t="s">
        <v>2</v>
      </c>
      <c r="B230" t="s">
        <v>88</v>
      </c>
      <c r="C230" t="s">
        <v>89</v>
      </c>
      <c r="D230" t="s">
        <v>3</v>
      </c>
      <c r="E230" t="s">
        <v>129</v>
      </c>
      <c r="F230" t="s">
        <v>130</v>
      </c>
      <c r="G230" t="s">
        <v>139</v>
      </c>
      <c r="H230" t="s">
        <v>92</v>
      </c>
      <c r="J230">
        <v>48.775784999999999</v>
      </c>
      <c r="K230">
        <v>10.699441999999999</v>
      </c>
      <c r="L230" t="s">
        <v>4</v>
      </c>
      <c r="M230">
        <v>7.941339E-2</v>
      </c>
      <c r="N230">
        <v>6.1765970000000003E-2</v>
      </c>
      <c r="O230">
        <v>7.4119164000000001E-2</v>
      </c>
      <c r="P230">
        <v>6.1765970000000003E-2</v>
      </c>
      <c r="Q230">
        <v>5.6471743999999997E-2</v>
      </c>
      <c r="R230">
        <v>5.2942259999999998E-2</v>
      </c>
      <c r="S230">
        <v>5.2942259999999998E-2</v>
      </c>
    </row>
    <row r="231" spans="1:19" x14ac:dyDescent="0.25">
      <c r="A231" t="s">
        <v>2</v>
      </c>
      <c r="B231" t="s">
        <v>88</v>
      </c>
      <c r="C231" t="s">
        <v>89</v>
      </c>
      <c r="D231" t="s">
        <v>3</v>
      </c>
      <c r="E231" t="s">
        <v>107</v>
      </c>
      <c r="F231" t="s">
        <v>108</v>
      </c>
      <c r="G231" t="s">
        <v>139</v>
      </c>
      <c r="H231" t="s">
        <v>92</v>
      </c>
      <c r="J231">
        <v>52.162646000000002</v>
      </c>
      <c r="K231">
        <v>7.968648</v>
      </c>
      <c r="L231" t="s">
        <v>4</v>
      </c>
      <c r="M231">
        <v>7.2120859999999995E-2</v>
      </c>
      <c r="N231">
        <v>5.6094001999999997E-2</v>
      </c>
      <c r="O231">
        <v>6.7312802000000005E-2</v>
      </c>
      <c r="P231">
        <v>5.6094001999999997E-2</v>
      </c>
      <c r="Q231">
        <v>5.1285944999999999E-2</v>
      </c>
      <c r="R231">
        <v>4.8080573000000001E-2</v>
      </c>
      <c r="S231">
        <v>4.8080573000000001E-2</v>
      </c>
    </row>
    <row r="232" spans="1:19" x14ac:dyDescent="0.25">
      <c r="A232" t="s">
        <v>2</v>
      </c>
      <c r="B232" t="s">
        <v>88</v>
      </c>
      <c r="C232" t="s">
        <v>89</v>
      </c>
      <c r="D232" t="s">
        <v>3</v>
      </c>
      <c r="E232" t="s">
        <v>172</v>
      </c>
      <c r="F232" t="s">
        <v>173</v>
      </c>
      <c r="G232" t="s">
        <v>139</v>
      </c>
      <c r="H232" t="s">
        <v>92</v>
      </c>
      <c r="J232">
        <v>50.027914000000003</v>
      </c>
      <c r="K232">
        <v>11.308923</v>
      </c>
      <c r="L232" t="s">
        <v>4</v>
      </c>
      <c r="M232">
        <v>1.658103E-3</v>
      </c>
      <c r="N232">
        <v>1.289636E-3</v>
      </c>
      <c r="O232">
        <v>1.5475630000000001E-3</v>
      </c>
      <c r="P232">
        <v>1.289636E-3</v>
      </c>
      <c r="Q232">
        <v>1.1790959999999999E-3</v>
      </c>
      <c r="R232">
        <v>1.1054019999999999E-3</v>
      </c>
      <c r="S232">
        <v>1.1054019999999999E-3</v>
      </c>
    </row>
    <row r="233" spans="1:19" x14ac:dyDescent="0.25">
      <c r="A233" t="s">
        <v>2</v>
      </c>
      <c r="B233" t="s">
        <v>88</v>
      </c>
      <c r="C233" t="s">
        <v>89</v>
      </c>
      <c r="D233" t="s">
        <v>3</v>
      </c>
      <c r="E233" t="s">
        <v>174</v>
      </c>
      <c r="F233" t="s">
        <v>175</v>
      </c>
      <c r="G233" t="s">
        <v>139</v>
      </c>
      <c r="H233" t="s">
        <v>92</v>
      </c>
      <c r="J233">
        <v>52.170476999999998</v>
      </c>
      <c r="K233">
        <v>9.7933900000000005</v>
      </c>
      <c r="L233" t="s">
        <v>4</v>
      </c>
      <c r="M233">
        <v>6.3428595000000004E-2</v>
      </c>
      <c r="N233">
        <v>4.9333351999999997E-2</v>
      </c>
      <c r="O233">
        <v>5.9200021999999998E-2</v>
      </c>
      <c r="P233">
        <v>4.9333351999999997E-2</v>
      </c>
      <c r="Q233">
        <v>4.5104778999999998E-2</v>
      </c>
      <c r="R233">
        <v>4.2285730000000001E-2</v>
      </c>
      <c r="S233">
        <v>4.2285730000000001E-2</v>
      </c>
    </row>
    <row r="234" spans="1:19" x14ac:dyDescent="0.25">
      <c r="A234" t="s">
        <v>2</v>
      </c>
      <c r="B234" t="s">
        <v>88</v>
      </c>
      <c r="C234" t="s">
        <v>89</v>
      </c>
      <c r="D234" t="s">
        <v>3</v>
      </c>
      <c r="E234" t="s">
        <v>176</v>
      </c>
      <c r="F234" t="s">
        <v>177</v>
      </c>
      <c r="G234" t="s">
        <v>139</v>
      </c>
      <c r="H234" t="s">
        <v>92</v>
      </c>
      <c r="J234">
        <v>52.023237000000002</v>
      </c>
      <c r="K234">
        <v>10.545916999999999</v>
      </c>
      <c r="L234" t="s">
        <v>4</v>
      </c>
      <c r="M234">
        <v>3.1327926999999998E-2</v>
      </c>
      <c r="N234">
        <v>2.4366166000000002E-2</v>
      </c>
      <c r="O234">
        <v>2.9239398999999999E-2</v>
      </c>
      <c r="P234">
        <v>2.4366166000000002E-2</v>
      </c>
      <c r="Q234">
        <v>2.2277636999999999E-2</v>
      </c>
      <c r="R234">
        <v>2.0885285E-2</v>
      </c>
      <c r="S234">
        <v>2.0885285E-2</v>
      </c>
    </row>
    <row r="235" spans="1:19" x14ac:dyDescent="0.25">
      <c r="A235" t="s">
        <v>2</v>
      </c>
      <c r="B235" t="s">
        <v>88</v>
      </c>
      <c r="C235" t="s">
        <v>89</v>
      </c>
      <c r="D235" t="s">
        <v>3</v>
      </c>
      <c r="E235" t="s">
        <v>178</v>
      </c>
      <c r="F235" t="s">
        <v>179</v>
      </c>
      <c r="G235" t="s">
        <v>139</v>
      </c>
      <c r="H235" t="s">
        <v>92</v>
      </c>
      <c r="J235">
        <v>52.071129999999997</v>
      </c>
      <c r="K235">
        <v>11.385047999999999</v>
      </c>
      <c r="L235" t="s">
        <v>4</v>
      </c>
      <c r="M235">
        <v>5.1052445000000002E-2</v>
      </c>
      <c r="N235">
        <v>3.9707458000000001E-2</v>
      </c>
      <c r="O235">
        <v>4.7648949000000003E-2</v>
      </c>
      <c r="P235">
        <v>3.9707458000000001E-2</v>
      </c>
      <c r="Q235">
        <v>3.6303961000000003E-2</v>
      </c>
      <c r="R235">
        <v>3.4034964000000001E-2</v>
      </c>
      <c r="S235">
        <v>3.4034964000000001E-2</v>
      </c>
    </row>
    <row r="236" spans="1:19" x14ac:dyDescent="0.25">
      <c r="A236" t="s">
        <v>2</v>
      </c>
      <c r="B236" t="s">
        <v>88</v>
      </c>
      <c r="C236" t="s">
        <v>89</v>
      </c>
      <c r="D236" t="s">
        <v>3</v>
      </c>
      <c r="E236" t="s">
        <v>180</v>
      </c>
      <c r="F236" t="s">
        <v>181</v>
      </c>
      <c r="G236" t="s">
        <v>139</v>
      </c>
      <c r="H236" t="s">
        <v>92</v>
      </c>
      <c r="J236">
        <v>52.977111999999998</v>
      </c>
      <c r="K236">
        <v>10.558517999999999</v>
      </c>
      <c r="L236" t="s">
        <v>4</v>
      </c>
      <c r="M236">
        <v>7.6179047999999999E-2</v>
      </c>
      <c r="N236">
        <v>5.9250371000000003E-2</v>
      </c>
      <c r="O236">
        <v>7.1100444999999998E-2</v>
      </c>
      <c r="P236">
        <v>5.9250371000000003E-2</v>
      </c>
      <c r="Q236">
        <v>5.4171768000000002E-2</v>
      </c>
      <c r="R236">
        <v>5.0786032000000002E-2</v>
      </c>
      <c r="S236">
        <v>5.0786032000000002E-2</v>
      </c>
    </row>
    <row r="237" spans="1:19" x14ac:dyDescent="0.25">
      <c r="A237" t="s">
        <v>2</v>
      </c>
      <c r="B237" t="s">
        <v>88</v>
      </c>
      <c r="C237" t="s">
        <v>89</v>
      </c>
      <c r="D237" t="s">
        <v>3</v>
      </c>
      <c r="E237" t="s">
        <v>182</v>
      </c>
      <c r="F237" t="s">
        <v>183</v>
      </c>
      <c r="G237" t="s">
        <v>139</v>
      </c>
      <c r="H237" t="s">
        <v>92</v>
      </c>
      <c r="J237">
        <v>52.233195000000002</v>
      </c>
      <c r="K237">
        <v>10.034605000000001</v>
      </c>
      <c r="L237" t="s">
        <v>4</v>
      </c>
      <c r="M237">
        <v>2.7071466999999998E-2</v>
      </c>
      <c r="N237">
        <v>2.1055585000000002E-2</v>
      </c>
      <c r="O237">
        <v>2.5266701999999999E-2</v>
      </c>
      <c r="P237">
        <v>2.1055585000000002E-2</v>
      </c>
      <c r="Q237">
        <v>1.9250821000000001E-2</v>
      </c>
      <c r="R237">
        <v>1.8047645000000001E-2</v>
      </c>
      <c r="S237">
        <v>1.8047645000000001E-2</v>
      </c>
    </row>
    <row r="238" spans="1:19" x14ac:dyDescent="0.25">
      <c r="A238" t="s">
        <v>2</v>
      </c>
      <c r="B238" t="s">
        <v>88</v>
      </c>
      <c r="C238" t="s">
        <v>89</v>
      </c>
      <c r="D238" t="s">
        <v>3</v>
      </c>
      <c r="E238" t="s">
        <v>184</v>
      </c>
      <c r="F238" t="s">
        <v>185</v>
      </c>
      <c r="G238" t="s">
        <v>139</v>
      </c>
      <c r="H238" t="s">
        <v>92</v>
      </c>
      <c r="J238">
        <v>51.205803000000003</v>
      </c>
      <c r="K238">
        <v>9.9074449999999992</v>
      </c>
      <c r="L238" t="s">
        <v>4</v>
      </c>
      <c r="M238">
        <v>2.3620398000000001E-2</v>
      </c>
      <c r="N238">
        <v>1.8371420999999999E-2</v>
      </c>
      <c r="O238">
        <v>2.2045704999999999E-2</v>
      </c>
      <c r="P238">
        <v>1.8371420999999999E-2</v>
      </c>
      <c r="Q238">
        <v>1.6796727000000001E-2</v>
      </c>
      <c r="R238">
        <v>1.5746932000000002E-2</v>
      </c>
      <c r="S238">
        <v>1.5746932000000002E-2</v>
      </c>
    </row>
    <row r="239" spans="1:19" x14ac:dyDescent="0.25">
      <c r="A239" t="s">
        <v>2</v>
      </c>
      <c r="B239" t="s">
        <v>88</v>
      </c>
      <c r="C239" t="s">
        <v>89</v>
      </c>
      <c r="D239" t="s">
        <v>3</v>
      </c>
      <c r="E239" t="s">
        <v>97</v>
      </c>
      <c r="F239" t="s">
        <v>98</v>
      </c>
      <c r="G239" t="s">
        <v>139</v>
      </c>
      <c r="H239" t="s">
        <v>92</v>
      </c>
      <c r="J239">
        <v>48.423419000000003</v>
      </c>
      <c r="K239">
        <v>9.9041779999999999</v>
      </c>
      <c r="L239" t="s">
        <v>4</v>
      </c>
      <c r="M239">
        <v>7.0400294000000002E-2</v>
      </c>
      <c r="N239">
        <v>5.4755784000000002E-2</v>
      </c>
      <c r="O239">
        <v>6.5706941000000005E-2</v>
      </c>
      <c r="P239">
        <v>5.4755784000000002E-2</v>
      </c>
      <c r="Q239">
        <v>5.0062430999999998E-2</v>
      </c>
      <c r="R239">
        <v>4.6933529000000002E-2</v>
      </c>
      <c r="S239">
        <v>4.6933529000000002E-2</v>
      </c>
    </row>
    <row r="240" spans="1:19" x14ac:dyDescent="0.25">
      <c r="A240" t="s">
        <v>2</v>
      </c>
      <c r="B240" t="s">
        <v>88</v>
      </c>
      <c r="C240" t="s">
        <v>89</v>
      </c>
      <c r="D240" t="s">
        <v>3</v>
      </c>
      <c r="E240" t="s">
        <v>186</v>
      </c>
      <c r="F240" t="s">
        <v>187</v>
      </c>
      <c r="G240" t="s">
        <v>139</v>
      </c>
      <c r="H240" t="s">
        <v>92</v>
      </c>
      <c r="J240">
        <v>49.364916000000001</v>
      </c>
      <c r="K240">
        <v>11.604835</v>
      </c>
      <c r="L240" t="s">
        <v>4</v>
      </c>
      <c r="M240">
        <v>2.4093127999999998E-2</v>
      </c>
      <c r="N240">
        <v>1.8739098999999999E-2</v>
      </c>
      <c r="O240">
        <v>2.2486919000000001E-2</v>
      </c>
      <c r="P240">
        <v>1.8739098999999999E-2</v>
      </c>
      <c r="Q240">
        <v>1.7132891000000001E-2</v>
      </c>
      <c r="R240">
        <v>1.6062085E-2</v>
      </c>
      <c r="S240">
        <v>1.6062085E-2</v>
      </c>
    </row>
    <row r="241" spans="1:19" x14ac:dyDescent="0.25">
      <c r="A241" t="s">
        <v>2</v>
      </c>
      <c r="B241" t="s">
        <v>88</v>
      </c>
      <c r="C241" t="s">
        <v>89</v>
      </c>
      <c r="D241" t="s">
        <v>3</v>
      </c>
      <c r="E241" t="s">
        <v>188</v>
      </c>
      <c r="F241" t="s">
        <v>189</v>
      </c>
      <c r="G241" t="s">
        <v>139</v>
      </c>
      <c r="H241" t="s">
        <v>92</v>
      </c>
      <c r="J241">
        <v>50.915255000000002</v>
      </c>
      <c r="K241">
        <v>6.3715789999999997</v>
      </c>
      <c r="L241" t="s">
        <v>4</v>
      </c>
      <c r="M241">
        <v>8.5499725999999998E-2</v>
      </c>
      <c r="N241">
        <v>6.6499787000000005E-2</v>
      </c>
      <c r="O241">
        <v>7.9799745000000005E-2</v>
      </c>
      <c r="P241">
        <v>6.6499787000000005E-2</v>
      </c>
      <c r="Q241">
        <v>6.0799805999999998E-2</v>
      </c>
      <c r="R241">
        <v>5.6999818000000001E-2</v>
      </c>
      <c r="S241">
        <v>5.6999818000000001E-2</v>
      </c>
    </row>
    <row r="242" spans="1:19" x14ac:dyDescent="0.25">
      <c r="A242" t="s">
        <v>2</v>
      </c>
      <c r="B242" t="s">
        <v>88</v>
      </c>
      <c r="C242" t="s">
        <v>89</v>
      </c>
      <c r="D242" t="s">
        <v>3</v>
      </c>
      <c r="E242" t="s">
        <v>190</v>
      </c>
      <c r="F242" t="s">
        <v>191</v>
      </c>
      <c r="G242" t="s">
        <v>139</v>
      </c>
      <c r="H242" t="s">
        <v>92</v>
      </c>
      <c r="J242">
        <v>50.657406000000002</v>
      </c>
      <c r="K242">
        <v>6.8105380000000002</v>
      </c>
      <c r="L242" t="s">
        <v>4</v>
      </c>
      <c r="M242">
        <v>4.1957485000000003E-2</v>
      </c>
      <c r="N242">
        <v>3.2633598999999999E-2</v>
      </c>
      <c r="O242">
        <v>3.9160318999999999E-2</v>
      </c>
      <c r="P242">
        <v>3.2633598999999999E-2</v>
      </c>
      <c r="Q242">
        <v>2.9836433999999998E-2</v>
      </c>
      <c r="R242">
        <v>2.7971657E-2</v>
      </c>
      <c r="S242">
        <v>2.7971657E-2</v>
      </c>
    </row>
    <row r="243" spans="1:19" x14ac:dyDescent="0.25">
      <c r="A243" t="s">
        <v>2</v>
      </c>
      <c r="B243" t="s">
        <v>88</v>
      </c>
      <c r="C243" t="s">
        <v>89</v>
      </c>
      <c r="D243" t="s">
        <v>3</v>
      </c>
      <c r="E243" t="s">
        <v>192</v>
      </c>
      <c r="F243" t="s">
        <v>193</v>
      </c>
      <c r="G243" t="s">
        <v>139</v>
      </c>
      <c r="H243" t="s">
        <v>92</v>
      </c>
      <c r="J243">
        <v>51.985916000000003</v>
      </c>
      <c r="K243">
        <v>8.8075480000000006</v>
      </c>
      <c r="L243" t="s">
        <v>4</v>
      </c>
      <c r="M243">
        <v>2.1625373999999999E-2</v>
      </c>
      <c r="N243">
        <v>1.6819735999999998E-2</v>
      </c>
      <c r="O243">
        <v>2.0183683000000001E-2</v>
      </c>
      <c r="P243">
        <v>1.6819735999999998E-2</v>
      </c>
      <c r="Q243">
        <v>1.5378044E-2</v>
      </c>
      <c r="R243">
        <v>1.4416916E-2</v>
      </c>
      <c r="S243">
        <v>1.4416916E-2</v>
      </c>
    </row>
    <row r="244" spans="1:19" x14ac:dyDescent="0.25">
      <c r="A244" t="s">
        <v>2</v>
      </c>
      <c r="B244" t="s">
        <v>88</v>
      </c>
      <c r="C244" t="s">
        <v>89</v>
      </c>
      <c r="D244" t="s">
        <v>3</v>
      </c>
      <c r="E244" t="s">
        <v>194</v>
      </c>
      <c r="F244" t="s">
        <v>195</v>
      </c>
      <c r="G244" t="s">
        <v>139</v>
      </c>
      <c r="H244" t="s">
        <v>92</v>
      </c>
      <c r="J244">
        <v>51.729120999999999</v>
      </c>
      <c r="K244">
        <v>6.3590609999999996</v>
      </c>
      <c r="L244" t="s">
        <v>4</v>
      </c>
      <c r="M244">
        <v>2.1348077E-2</v>
      </c>
      <c r="N244">
        <v>1.660406E-2</v>
      </c>
      <c r="O244">
        <v>1.9924872E-2</v>
      </c>
      <c r="P244">
        <v>1.660406E-2</v>
      </c>
      <c r="Q244">
        <v>1.5180855E-2</v>
      </c>
      <c r="R244">
        <v>1.4232052E-2</v>
      </c>
      <c r="S244">
        <v>1.4232052E-2</v>
      </c>
    </row>
    <row r="245" spans="1:19" x14ac:dyDescent="0.25">
      <c r="A245" t="s">
        <v>2</v>
      </c>
      <c r="B245" t="s">
        <v>88</v>
      </c>
      <c r="C245" t="s">
        <v>89</v>
      </c>
      <c r="D245" t="s">
        <v>3</v>
      </c>
      <c r="E245" t="s">
        <v>133</v>
      </c>
      <c r="F245" t="s">
        <v>134</v>
      </c>
      <c r="G245" t="s">
        <v>139</v>
      </c>
      <c r="H245" t="s">
        <v>92</v>
      </c>
      <c r="J245">
        <v>51.698058000000003</v>
      </c>
      <c r="K245">
        <v>11.757585000000001</v>
      </c>
      <c r="L245" t="s">
        <v>4</v>
      </c>
      <c r="M245">
        <v>5.2051849999999997E-2</v>
      </c>
      <c r="N245">
        <v>4.0484772000000002E-2</v>
      </c>
      <c r="O245">
        <v>4.8581726999999998E-2</v>
      </c>
      <c r="P245">
        <v>4.0484772000000002E-2</v>
      </c>
      <c r="Q245">
        <v>3.7014648999999997E-2</v>
      </c>
      <c r="R245">
        <v>3.4701232999999998E-2</v>
      </c>
      <c r="S245">
        <v>3.4701232999999998E-2</v>
      </c>
    </row>
    <row r="246" spans="1:19" x14ac:dyDescent="0.25">
      <c r="A246" t="s">
        <v>2</v>
      </c>
      <c r="B246" t="s">
        <v>88</v>
      </c>
      <c r="C246" t="s">
        <v>89</v>
      </c>
      <c r="D246" t="s">
        <v>3</v>
      </c>
      <c r="E246" t="s">
        <v>111</v>
      </c>
      <c r="F246" t="s">
        <v>112</v>
      </c>
      <c r="G246" t="s">
        <v>139</v>
      </c>
      <c r="H246" t="s">
        <v>92</v>
      </c>
      <c r="J246">
        <v>51.597330999999997</v>
      </c>
      <c r="K246">
        <v>8.3411760000000008</v>
      </c>
      <c r="L246" t="s">
        <v>4</v>
      </c>
      <c r="M246">
        <v>5.7637064000000002E-2</v>
      </c>
      <c r="N246">
        <v>4.4828828000000001E-2</v>
      </c>
      <c r="O246">
        <v>5.3794593000000002E-2</v>
      </c>
      <c r="P246">
        <v>4.4828828000000001E-2</v>
      </c>
      <c r="Q246">
        <v>4.0986357000000001E-2</v>
      </c>
      <c r="R246">
        <v>3.8424710000000001E-2</v>
      </c>
      <c r="S246">
        <v>3.8424710000000001E-2</v>
      </c>
    </row>
    <row r="247" spans="1:19" x14ac:dyDescent="0.25">
      <c r="A247" t="s">
        <v>2</v>
      </c>
      <c r="B247" t="s">
        <v>88</v>
      </c>
      <c r="C247" t="s">
        <v>89</v>
      </c>
      <c r="D247" t="s">
        <v>3</v>
      </c>
      <c r="E247" t="s">
        <v>196</v>
      </c>
      <c r="F247" t="s">
        <v>197</v>
      </c>
      <c r="G247" t="s">
        <v>139</v>
      </c>
      <c r="H247" t="s">
        <v>92</v>
      </c>
      <c r="J247">
        <v>52.169490000000003</v>
      </c>
      <c r="K247">
        <v>14.626637000000001</v>
      </c>
      <c r="L247" t="s">
        <v>4</v>
      </c>
      <c r="M247">
        <v>7.2417085000000006E-2</v>
      </c>
      <c r="N247">
        <v>5.6324398999999997E-2</v>
      </c>
      <c r="O247">
        <v>6.7589279000000002E-2</v>
      </c>
      <c r="P247">
        <v>5.6324398999999997E-2</v>
      </c>
      <c r="Q247">
        <v>5.1496594E-2</v>
      </c>
      <c r="R247">
        <v>4.8278056999999999E-2</v>
      </c>
      <c r="S247">
        <v>4.8278056999999999E-2</v>
      </c>
    </row>
    <row r="248" spans="1:19" x14ac:dyDescent="0.25">
      <c r="A248" t="s">
        <v>2</v>
      </c>
      <c r="B248" t="s">
        <v>88</v>
      </c>
      <c r="C248" t="s">
        <v>89</v>
      </c>
      <c r="D248" t="s">
        <v>3</v>
      </c>
      <c r="E248" t="s">
        <v>140</v>
      </c>
      <c r="F248" t="s">
        <v>141</v>
      </c>
      <c r="G248" t="s">
        <v>139</v>
      </c>
      <c r="H248" t="s">
        <v>92</v>
      </c>
      <c r="J248">
        <v>50.944513999999998</v>
      </c>
      <c r="K248">
        <v>11.988065000000001</v>
      </c>
      <c r="L248" t="s">
        <v>4</v>
      </c>
      <c r="M248">
        <v>3.2936343999999999E-2</v>
      </c>
      <c r="N248">
        <v>2.5617157000000002E-2</v>
      </c>
      <c r="O248">
        <v>3.0740587999999999E-2</v>
      </c>
      <c r="P248">
        <v>2.5617157000000002E-2</v>
      </c>
      <c r="Q248">
        <v>2.3421399999999998E-2</v>
      </c>
      <c r="R248">
        <v>2.1957562999999999E-2</v>
      </c>
      <c r="S248">
        <v>2.1957562999999999E-2</v>
      </c>
    </row>
    <row r="249" spans="1:19" x14ac:dyDescent="0.25">
      <c r="A249" t="s">
        <v>2</v>
      </c>
      <c r="B249" t="s">
        <v>88</v>
      </c>
      <c r="C249" t="s">
        <v>89</v>
      </c>
      <c r="D249" t="s">
        <v>3</v>
      </c>
      <c r="E249" t="s">
        <v>198</v>
      </c>
      <c r="F249" t="s">
        <v>199</v>
      </c>
      <c r="G249" t="s">
        <v>139</v>
      </c>
      <c r="H249" t="s">
        <v>92</v>
      </c>
      <c r="J249">
        <v>53.853903000000003</v>
      </c>
      <c r="K249">
        <v>13.708684</v>
      </c>
      <c r="L249" t="s">
        <v>4</v>
      </c>
      <c r="M249">
        <v>3.9175997999999997E-2</v>
      </c>
      <c r="N249">
        <v>3.0470220999999999E-2</v>
      </c>
      <c r="O249">
        <v>3.6564264999999999E-2</v>
      </c>
      <c r="P249">
        <v>3.0470220999999999E-2</v>
      </c>
      <c r="Q249">
        <v>2.7858488000000001E-2</v>
      </c>
      <c r="R249">
        <v>2.6117332E-2</v>
      </c>
      <c r="S249">
        <v>2.6117332E-2</v>
      </c>
    </row>
    <row r="250" spans="1:19" x14ac:dyDescent="0.25">
      <c r="A250" t="s">
        <v>2</v>
      </c>
      <c r="B250" t="s">
        <v>88</v>
      </c>
      <c r="C250" t="s">
        <v>89</v>
      </c>
      <c r="D250" t="s">
        <v>3</v>
      </c>
      <c r="E250" t="s">
        <v>200</v>
      </c>
      <c r="F250" t="s">
        <v>201</v>
      </c>
      <c r="G250" t="s">
        <v>139</v>
      </c>
      <c r="H250" t="s">
        <v>92</v>
      </c>
      <c r="J250">
        <v>51.491359000000003</v>
      </c>
      <c r="K250">
        <v>9.1656840000000006</v>
      </c>
      <c r="L250" t="s">
        <v>4</v>
      </c>
      <c r="M250">
        <v>1.6134327E-2</v>
      </c>
      <c r="N250">
        <v>1.2548920999999999E-2</v>
      </c>
      <c r="O250">
        <v>1.5058706E-2</v>
      </c>
      <c r="P250">
        <v>1.2548920999999999E-2</v>
      </c>
      <c r="Q250">
        <v>1.1473298999999999E-2</v>
      </c>
      <c r="R250">
        <v>1.0756218E-2</v>
      </c>
      <c r="S250">
        <v>1.0756218E-2</v>
      </c>
    </row>
    <row r="251" spans="1:19" x14ac:dyDescent="0.25">
      <c r="A251" t="s">
        <v>2</v>
      </c>
      <c r="B251" t="s">
        <v>88</v>
      </c>
      <c r="C251" t="s">
        <v>89</v>
      </c>
      <c r="D251" t="s">
        <v>3</v>
      </c>
      <c r="E251" t="s">
        <v>202</v>
      </c>
      <c r="F251" t="s">
        <v>203</v>
      </c>
      <c r="G251" t="s">
        <v>139</v>
      </c>
      <c r="H251" t="s">
        <v>92</v>
      </c>
      <c r="J251">
        <v>51.102179999999997</v>
      </c>
      <c r="K251">
        <v>9.3601209999999995</v>
      </c>
      <c r="L251" t="s">
        <v>4</v>
      </c>
      <c r="M251">
        <v>1.9918057999999999E-2</v>
      </c>
      <c r="N251">
        <v>1.5491823E-2</v>
      </c>
      <c r="O251">
        <v>1.8590188000000001E-2</v>
      </c>
      <c r="P251">
        <v>1.5491823E-2</v>
      </c>
      <c r="Q251">
        <v>1.4163952E-2</v>
      </c>
      <c r="R251">
        <v>1.3278705E-2</v>
      </c>
      <c r="S251">
        <v>1.3278705E-2</v>
      </c>
    </row>
    <row r="252" spans="1:19" x14ac:dyDescent="0.25">
      <c r="A252" t="s">
        <v>2</v>
      </c>
      <c r="B252" t="s">
        <v>88</v>
      </c>
      <c r="C252" t="s">
        <v>89</v>
      </c>
      <c r="D252" t="s">
        <v>3</v>
      </c>
      <c r="E252" t="s">
        <v>204</v>
      </c>
      <c r="F252" t="s">
        <v>205</v>
      </c>
      <c r="G252" t="s">
        <v>139</v>
      </c>
      <c r="H252" t="s">
        <v>92</v>
      </c>
      <c r="J252">
        <v>49.243552000000001</v>
      </c>
      <c r="K252">
        <v>9.1805129999999995</v>
      </c>
      <c r="L252" t="s">
        <v>4</v>
      </c>
      <c r="M252">
        <v>3.6359493999999999E-2</v>
      </c>
      <c r="N252">
        <v>2.8279606999999998E-2</v>
      </c>
      <c r="O252">
        <v>3.3935528E-2</v>
      </c>
      <c r="P252">
        <v>2.8279606999999998E-2</v>
      </c>
      <c r="Q252">
        <v>2.5855639999999999E-2</v>
      </c>
      <c r="R252">
        <v>2.4239663000000002E-2</v>
      </c>
      <c r="S252">
        <v>2.4239663000000002E-2</v>
      </c>
    </row>
    <row r="253" spans="1:19" x14ac:dyDescent="0.25">
      <c r="A253" t="s">
        <v>2</v>
      </c>
      <c r="B253" t="s">
        <v>88</v>
      </c>
      <c r="C253" t="s">
        <v>89</v>
      </c>
      <c r="D253" t="s">
        <v>3</v>
      </c>
      <c r="E253" t="s">
        <v>206</v>
      </c>
      <c r="F253" t="s">
        <v>207</v>
      </c>
      <c r="G253" t="s">
        <v>139</v>
      </c>
      <c r="H253" t="s">
        <v>92</v>
      </c>
      <c r="J253">
        <v>49.665720999999998</v>
      </c>
      <c r="K253">
        <v>10.080456999999999</v>
      </c>
      <c r="L253" t="s">
        <v>4</v>
      </c>
      <c r="M253">
        <v>6.8611114000000001E-2</v>
      </c>
      <c r="N253">
        <v>5.3364199000000001E-2</v>
      </c>
      <c r="O253">
        <v>6.4037039000000004E-2</v>
      </c>
      <c r="P253">
        <v>5.3364199000000001E-2</v>
      </c>
      <c r="Q253">
        <v>4.8790124999999997E-2</v>
      </c>
      <c r="R253">
        <v>4.5740742000000001E-2</v>
      </c>
      <c r="S253">
        <v>4.5740742000000001E-2</v>
      </c>
    </row>
    <row r="254" spans="1:19" x14ac:dyDescent="0.25">
      <c r="A254" t="s">
        <v>2</v>
      </c>
      <c r="B254" t="s">
        <v>88</v>
      </c>
      <c r="C254" t="s">
        <v>89</v>
      </c>
      <c r="D254" t="s">
        <v>3</v>
      </c>
      <c r="E254" t="s">
        <v>135</v>
      </c>
      <c r="F254" t="s">
        <v>136</v>
      </c>
      <c r="G254" t="s">
        <v>139</v>
      </c>
      <c r="H254" t="s">
        <v>92</v>
      </c>
      <c r="J254">
        <v>51.053932000000003</v>
      </c>
      <c r="K254">
        <v>12.110927</v>
      </c>
      <c r="L254" t="s">
        <v>4</v>
      </c>
      <c r="M254">
        <v>0.13392447599999999</v>
      </c>
      <c r="N254">
        <v>0.104163481</v>
      </c>
      <c r="O254">
        <v>0.124996178</v>
      </c>
      <c r="P254">
        <v>0.104163481</v>
      </c>
      <c r="Q254">
        <v>9.5235183000000001E-2</v>
      </c>
      <c r="R254">
        <v>8.9282983999999996E-2</v>
      </c>
      <c r="S254">
        <v>8.9282983999999996E-2</v>
      </c>
    </row>
    <row r="255" spans="1:19" x14ac:dyDescent="0.25">
      <c r="A255" t="s">
        <v>2</v>
      </c>
      <c r="B255" t="s">
        <v>88</v>
      </c>
      <c r="C255" t="s">
        <v>89</v>
      </c>
      <c r="D255" t="s">
        <v>3</v>
      </c>
      <c r="E255" t="s">
        <v>208</v>
      </c>
      <c r="F255" t="s">
        <v>209</v>
      </c>
      <c r="G255" t="s">
        <v>139</v>
      </c>
      <c r="H255" t="s">
        <v>92</v>
      </c>
      <c r="J255">
        <v>51.459828999999999</v>
      </c>
      <c r="K255">
        <v>13.223212999999999</v>
      </c>
      <c r="L255" t="s">
        <v>4</v>
      </c>
      <c r="M255">
        <v>3.4265571000000002E-2</v>
      </c>
      <c r="N255">
        <v>2.6651000000000001E-2</v>
      </c>
      <c r="O255">
        <v>3.1981200000000001E-2</v>
      </c>
      <c r="P255">
        <v>2.6651000000000001E-2</v>
      </c>
      <c r="Q255">
        <v>2.4366628000000001E-2</v>
      </c>
      <c r="R255">
        <v>2.2843714000000001E-2</v>
      </c>
      <c r="S255">
        <v>2.2843714000000001E-2</v>
      </c>
    </row>
    <row r="256" spans="1:19" x14ac:dyDescent="0.25">
      <c r="A256" t="s">
        <v>2</v>
      </c>
      <c r="B256" t="s">
        <v>88</v>
      </c>
      <c r="C256" t="s">
        <v>89</v>
      </c>
      <c r="D256" t="s">
        <v>3</v>
      </c>
      <c r="E256" t="s">
        <v>129</v>
      </c>
      <c r="F256" t="s">
        <v>130</v>
      </c>
      <c r="G256" t="s">
        <v>139</v>
      </c>
      <c r="H256" t="s">
        <v>92</v>
      </c>
      <c r="J256">
        <v>48.69791</v>
      </c>
      <c r="K256">
        <v>10.909583</v>
      </c>
      <c r="L256" t="s">
        <v>4</v>
      </c>
      <c r="M256">
        <v>3.7691086999999998E-2</v>
      </c>
      <c r="N256">
        <v>2.9315290000000001E-2</v>
      </c>
      <c r="O256">
        <v>3.5178347999999998E-2</v>
      </c>
      <c r="P256">
        <v>2.9315290000000001E-2</v>
      </c>
      <c r="Q256">
        <v>2.6802551000000001E-2</v>
      </c>
      <c r="R256">
        <v>2.5127390999999999E-2</v>
      </c>
      <c r="S256">
        <v>2.5127390999999999E-2</v>
      </c>
    </row>
    <row r="257" spans="1:19" x14ac:dyDescent="0.25">
      <c r="A257" t="s">
        <v>2</v>
      </c>
      <c r="B257" t="s">
        <v>88</v>
      </c>
      <c r="C257" t="s">
        <v>89</v>
      </c>
      <c r="D257" t="s">
        <v>3</v>
      </c>
      <c r="E257" t="s">
        <v>210</v>
      </c>
      <c r="F257" t="s">
        <v>211</v>
      </c>
      <c r="G257" t="s">
        <v>139</v>
      </c>
      <c r="H257" t="s">
        <v>92</v>
      </c>
      <c r="J257">
        <v>49.599576999999996</v>
      </c>
      <c r="K257">
        <v>8.2196610000000003</v>
      </c>
      <c r="L257" t="s">
        <v>4</v>
      </c>
      <c r="M257">
        <v>6.7556344000000004E-2</v>
      </c>
      <c r="N257">
        <v>5.2543823000000003E-2</v>
      </c>
      <c r="O257">
        <v>6.3052588000000007E-2</v>
      </c>
      <c r="P257">
        <v>5.2543823000000003E-2</v>
      </c>
      <c r="Q257">
        <v>4.8040066999999999E-2</v>
      </c>
      <c r="R257">
        <v>4.5037563000000003E-2</v>
      </c>
      <c r="S257">
        <v>4.5037563000000003E-2</v>
      </c>
    </row>
    <row r="258" spans="1:19" x14ac:dyDescent="0.25">
      <c r="A258" t="s">
        <v>2</v>
      </c>
      <c r="B258" t="s">
        <v>88</v>
      </c>
      <c r="C258" t="s">
        <v>89</v>
      </c>
      <c r="D258" t="s">
        <v>3</v>
      </c>
      <c r="E258" t="s">
        <v>212</v>
      </c>
      <c r="F258" t="s">
        <v>213</v>
      </c>
      <c r="G258" t="s">
        <v>139</v>
      </c>
      <c r="H258" t="s">
        <v>92</v>
      </c>
      <c r="J258">
        <v>48.786760000000001</v>
      </c>
      <c r="K258">
        <v>12.882771</v>
      </c>
      <c r="L258" t="s">
        <v>4</v>
      </c>
      <c r="M258">
        <v>5.9421039000000002E-2</v>
      </c>
      <c r="N258">
        <v>4.6216364000000003E-2</v>
      </c>
      <c r="O258">
        <v>5.5459636999999999E-2</v>
      </c>
      <c r="P258">
        <v>4.6216364000000003E-2</v>
      </c>
      <c r="Q258">
        <v>4.2254961000000001E-2</v>
      </c>
      <c r="R258">
        <v>3.9614025999999997E-2</v>
      </c>
      <c r="S258">
        <v>3.9614025999999997E-2</v>
      </c>
    </row>
    <row r="259" spans="1:19" x14ac:dyDescent="0.25">
      <c r="A259" t="s">
        <v>2</v>
      </c>
      <c r="B259" t="s">
        <v>88</v>
      </c>
      <c r="C259" t="s">
        <v>89</v>
      </c>
      <c r="D259" t="s">
        <v>3</v>
      </c>
      <c r="E259" t="s">
        <v>214</v>
      </c>
      <c r="F259" t="s">
        <v>215</v>
      </c>
      <c r="G259" t="s">
        <v>7</v>
      </c>
      <c r="H259" t="s">
        <v>92</v>
      </c>
      <c r="J259">
        <v>47.891316660000001</v>
      </c>
      <c r="K259">
        <v>7.6164636420000003</v>
      </c>
      <c r="L259" t="s">
        <v>4</v>
      </c>
      <c r="M259">
        <v>0</v>
      </c>
      <c r="N259">
        <v>3.9440279999999996E-3</v>
      </c>
      <c r="O259">
        <v>2.297486E-2</v>
      </c>
      <c r="P259">
        <v>5.6290736000000001E-2</v>
      </c>
      <c r="Q259">
        <v>8.3387163E-2</v>
      </c>
      <c r="R259">
        <v>0.115849047</v>
      </c>
      <c r="S259">
        <v>0.115849047</v>
      </c>
    </row>
    <row r="260" spans="1:19" x14ac:dyDescent="0.25">
      <c r="A260" t="s">
        <v>2</v>
      </c>
      <c r="B260" t="s">
        <v>88</v>
      </c>
      <c r="C260" t="s">
        <v>89</v>
      </c>
      <c r="D260" t="s">
        <v>3</v>
      </c>
      <c r="E260" t="s">
        <v>216</v>
      </c>
      <c r="F260" t="s">
        <v>217</v>
      </c>
      <c r="G260" t="s">
        <v>7</v>
      </c>
      <c r="H260" t="s">
        <v>92</v>
      </c>
      <c r="J260">
        <v>47.7592316</v>
      </c>
      <c r="K260">
        <v>10.31880001</v>
      </c>
      <c r="L260" t="s">
        <v>4</v>
      </c>
      <c r="M260">
        <v>0</v>
      </c>
      <c r="N260">
        <v>3.411051E-3</v>
      </c>
      <c r="O260">
        <v>1.9870149E-2</v>
      </c>
      <c r="P260">
        <v>4.8683878999999999E-2</v>
      </c>
      <c r="Q260">
        <v>7.2118627000000005E-2</v>
      </c>
      <c r="R260">
        <v>0.100193771</v>
      </c>
      <c r="S260">
        <v>0.100193771</v>
      </c>
    </row>
    <row r="261" spans="1:19" x14ac:dyDescent="0.25">
      <c r="A261" t="s">
        <v>2</v>
      </c>
      <c r="B261" t="s">
        <v>88</v>
      </c>
      <c r="C261" t="s">
        <v>89</v>
      </c>
      <c r="D261" t="s">
        <v>3</v>
      </c>
      <c r="E261" t="s">
        <v>218</v>
      </c>
      <c r="F261" t="s">
        <v>219</v>
      </c>
      <c r="G261" t="s">
        <v>7</v>
      </c>
      <c r="H261" t="s">
        <v>92</v>
      </c>
      <c r="J261">
        <v>47.85607066</v>
      </c>
      <c r="K261">
        <v>12.13358303</v>
      </c>
      <c r="L261" t="s">
        <v>4</v>
      </c>
      <c r="M261">
        <v>0</v>
      </c>
      <c r="N261">
        <v>2.1319070000000002E-3</v>
      </c>
      <c r="O261">
        <v>1.2418843000000001E-2</v>
      </c>
      <c r="P261">
        <v>3.0427425000000001E-2</v>
      </c>
      <c r="Q261">
        <v>4.5074141999999998E-2</v>
      </c>
      <c r="R261">
        <v>6.2621106999999995E-2</v>
      </c>
      <c r="S261">
        <v>6.2621106999999995E-2</v>
      </c>
    </row>
    <row r="262" spans="1:19" x14ac:dyDescent="0.25">
      <c r="A262" t="s">
        <v>2</v>
      </c>
      <c r="B262" t="s">
        <v>88</v>
      </c>
      <c r="C262" t="s">
        <v>89</v>
      </c>
      <c r="D262" t="s">
        <v>3</v>
      </c>
      <c r="E262" t="s">
        <v>220</v>
      </c>
      <c r="F262" t="s">
        <v>221</v>
      </c>
      <c r="G262" t="s">
        <v>7</v>
      </c>
      <c r="H262" t="s">
        <v>92</v>
      </c>
      <c r="J262">
        <v>48.184673170000003</v>
      </c>
      <c r="K262">
        <v>12.738267240000001</v>
      </c>
      <c r="L262" t="s">
        <v>4</v>
      </c>
      <c r="M262">
        <v>0</v>
      </c>
      <c r="N262">
        <v>5.6026510000000002E-3</v>
      </c>
      <c r="O262">
        <v>3.2636720000000001E-2</v>
      </c>
      <c r="P262">
        <v>7.9963272000000002E-2</v>
      </c>
      <c r="Q262">
        <v>0.118454846</v>
      </c>
      <c r="R262">
        <v>0.16456826799999999</v>
      </c>
      <c r="S262">
        <v>0.16456826799999999</v>
      </c>
    </row>
    <row r="263" spans="1:19" x14ac:dyDescent="0.25">
      <c r="A263" t="s">
        <v>2</v>
      </c>
      <c r="B263" t="s">
        <v>88</v>
      </c>
      <c r="C263" t="s">
        <v>89</v>
      </c>
      <c r="D263" t="s">
        <v>3</v>
      </c>
      <c r="E263" t="s">
        <v>222</v>
      </c>
      <c r="F263" t="s">
        <v>223</v>
      </c>
      <c r="G263" t="s">
        <v>7</v>
      </c>
      <c r="H263" t="s">
        <v>92</v>
      </c>
      <c r="J263">
        <v>48.181362759999999</v>
      </c>
      <c r="K263">
        <v>11.637290269999999</v>
      </c>
      <c r="L263" t="s">
        <v>4</v>
      </c>
      <c r="M263">
        <v>0</v>
      </c>
      <c r="N263">
        <v>1.5349730000000001E-2</v>
      </c>
      <c r="O263">
        <v>8.9415672000000002E-2</v>
      </c>
      <c r="P263">
        <v>0.219077457</v>
      </c>
      <c r="Q263">
        <v>0.32453382400000003</v>
      </c>
      <c r="R263">
        <v>0.45087196800000001</v>
      </c>
      <c r="S263">
        <v>0.45087196800000001</v>
      </c>
    </row>
    <row r="264" spans="1:19" x14ac:dyDescent="0.25">
      <c r="A264" t="s">
        <v>2</v>
      </c>
      <c r="B264" t="s">
        <v>88</v>
      </c>
      <c r="C264" t="s">
        <v>89</v>
      </c>
      <c r="D264" t="s">
        <v>3</v>
      </c>
      <c r="E264" t="s">
        <v>224</v>
      </c>
      <c r="F264" t="s">
        <v>225</v>
      </c>
      <c r="G264" t="s">
        <v>7</v>
      </c>
      <c r="H264" t="s">
        <v>92</v>
      </c>
      <c r="J264">
        <v>48.234881199999997</v>
      </c>
      <c r="K264">
        <v>11.35853928</v>
      </c>
      <c r="L264" t="s">
        <v>4</v>
      </c>
      <c r="M264">
        <v>0</v>
      </c>
      <c r="N264">
        <v>2.7288410000000001E-3</v>
      </c>
      <c r="O264">
        <v>1.5896119E-2</v>
      </c>
      <c r="P264">
        <v>3.8947104000000003E-2</v>
      </c>
      <c r="Q264">
        <v>5.7694901999999999E-2</v>
      </c>
      <c r="R264">
        <v>8.0155016999999995E-2</v>
      </c>
      <c r="S264">
        <v>8.0155016999999995E-2</v>
      </c>
    </row>
    <row r="265" spans="1:19" x14ac:dyDescent="0.25">
      <c r="A265" t="s">
        <v>2</v>
      </c>
      <c r="B265" t="s">
        <v>88</v>
      </c>
      <c r="C265" t="s">
        <v>89</v>
      </c>
      <c r="D265" t="s">
        <v>3</v>
      </c>
      <c r="E265" t="s">
        <v>226</v>
      </c>
      <c r="F265" t="s">
        <v>227</v>
      </c>
      <c r="G265" t="s">
        <v>7</v>
      </c>
      <c r="H265" t="s">
        <v>92</v>
      </c>
      <c r="J265">
        <v>48.401756519999999</v>
      </c>
      <c r="K265">
        <v>10.933586930000001</v>
      </c>
      <c r="L265" t="s">
        <v>4</v>
      </c>
      <c r="M265">
        <v>0</v>
      </c>
      <c r="N265">
        <v>5.5429579999999997E-3</v>
      </c>
      <c r="O265">
        <v>3.2288993000000002E-2</v>
      </c>
      <c r="P265">
        <v>7.9111303999999993E-2</v>
      </c>
      <c r="Q265">
        <v>0.11719277</v>
      </c>
      <c r="R265">
        <v>0.162814877</v>
      </c>
      <c r="S265">
        <v>0.162814877</v>
      </c>
    </row>
    <row r="266" spans="1:19" x14ac:dyDescent="0.25">
      <c r="A266" t="s">
        <v>2</v>
      </c>
      <c r="B266" t="s">
        <v>88</v>
      </c>
      <c r="C266" t="s">
        <v>89</v>
      </c>
      <c r="D266" t="s">
        <v>3</v>
      </c>
      <c r="E266" t="s">
        <v>228</v>
      </c>
      <c r="F266" t="s">
        <v>229</v>
      </c>
      <c r="G266" t="s">
        <v>7</v>
      </c>
      <c r="H266" t="s">
        <v>92</v>
      </c>
      <c r="J266">
        <v>48.299242839999998</v>
      </c>
      <c r="K266">
        <v>10.13459591</v>
      </c>
      <c r="L266" t="s">
        <v>4</v>
      </c>
      <c r="M266">
        <v>0</v>
      </c>
      <c r="N266">
        <v>2.2385019999999999E-3</v>
      </c>
      <c r="O266">
        <v>1.3039785999999999E-2</v>
      </c>
      <c r="P266">
        <v>3.1948796000000002E-2</v>
      </c>
      <c r="Q266">
        <v>4.7327848999999998E-2</v>
      </c>
      <c r="R266">
        <v>6.5752162000000003E-2</v>
      </c>
      <c r="S266">
        <v>6.5752162000000003E-2</v>
      </c>
    </row>
    <row r="267" spans="1:19" x14ac:dyDescent="0.25">
      <c r="A267" t="s">
        <v>2</v>
      </c>
      <c r="B267" t="s">
        <v>88</v>
      </c>
      <c r="C267" t="s">
        <v>89</v>
      </c>
      <c r="D267" t="s">
        <v>3</v>
      </c>
      <c r="E267" t="s">
        <v>230</v>
      </c>
      <c r="F267" t="s">
        <v>231</v>
      </c>
      <c r="G267" t="s">
        <v>7</v>
      </c>
      <c r="H267" t="s">
        <v>92</v>
      </c>
      <c r="J267">
        <v>48.363993919999999</v>
      </c>
      <c r="K267">
        <v>9.9550238459999996</v>
      </c>
      <c r="L267" t="s">
        <v>4</v>
      </c>
      <c r="M267">
        <v>0</v>
      </c>
      <c r="N267">
        <v>3.411051E-3</v>
      </c>
      <c r="O267">
        <v>1.9870149E-2</v>
      </c>
      <c r="P267">
        <v>4.8683878999999999E-2</v>
      </c>
      <c r="Q267">
        <v>7.2118627000000005E-2</v>
      </c>
      <c r="R267">
        <v>0.100193771</v>
      </c>
      <c r="S267">
        <v>0.100193771</v>
      </c>
    </row>
    <row r="268" spans="1:19" x14ac:dyDescent="0.25">
      <c r="A268" t="s">
        <v>2</v>
      </c>
      <c r="B268" t="s">
        <v>88</v>
      </c>
      <c r="C268" t="s">
        <v>89</v>
      </c>
      <c r="D268" t="s">
        <v>3</v>
      </c>
      <c r="E268" t="s">
        <v>232</v>
      </c>
      <c r="F268" t="s">
        <v>233</v>
      </c>
      <c r="G268" t="s">
        <v>7</v>
      </c>
      <c r="H268" t="s">
        <v>92</v>
      </c>
      <c r="J268">
        <v>48.682666310000002</v>
      </c>
      <c r="K268">
        <v>9.6712464090000001</v>
      </c>
      <c r="L268" t="s">
        <v>4</v>
      </c>
      <c r="M268">
        <v>0</v>
      </c>
      <c r="N268">
        <v>3.8284780000000002E-3</v>
      </c>
      <c r="O268">
        <v>2.2301759000000001E-2</v>
      </c>
      <c r="P268">
        <v>5.4641569000000001E-2</v>
      </c>
      <c r="Q268">
        <v>8.0944144999999995E-2</v>
      </c>
      <c r="R268">
        <v>0.11245498299999999</v>
      </c>
      <c r="S268">
        <v>0.11245498299999999</v>
      </c>
    </row>
    <row r="269" spans="1:19" x14ac:dyDescent="0.25">
      <c r="A269" t="s">
        <v>2</v>
      </c>
      <c r="B269" t="s">
        <v>88</v>
      </c>
      <c r="C269" t="s">
        <v>89</v>
      </c>
      <c r="D269" t="s">
        <v>3</v>
      </c>
      <c r="E269" t="s">
        <v>234</v>
      </c>
      <c r="F269" t="s">
        <v>235</v>
      </c>
      <c r="G269" t="s">
        <v>7</v>
      </c>
      <c r="H269" t="s">
        <v>92</v>
      </c>
      <c r="J269">
        <v>48.692656929999998</v>
      </c>
      <c r="K269">
        <v>9.0629316150000001</v>
      </c>
      <c r="L269" t="s">
        <v>4</v>
      </c>
      <c r="M269">
        <v>0</v>
      </c>
      <c r="N269">
        <v>3.3470940000000001E-3</v>
      </c>
      <c r="O269">
        <v>1.9497583999999998E-2</v>
      </c>
      <c r="P269">
        <v>4.7771056999999999E-2</v>
      </c>
      <c r="Q269">
        <v>7.0766403000000005E-2</v>
      </c>
      <c r="R269">
        <v>9.8315136999999997E-2</v>
      </c>
      <c r="S269">
        <v>9.8315136999999997E-2</v>
      </c>
    </row>
    <row r="270" spans="1:19" x14ac:dyDescent="0.25">
      <c r="A270" t="s">
        <v>2</v>
      </c>
      <c r="B270" t="s">
        <v>88</v>
      </c>
      <c r="C270" t="s">
        <v>89</v>
      </c>
      <c r="D270" t="s">
        <v>3</v>
      </c>
      <c r="E270" t="s">
        <v>236</v>
      </c>
      <c r="F270" t="s">
        <v>237</v>
      </c>
      <c r="G270" t="s">
        <v>7</v>
      </c>
      <c r="H270" t="s">
        <v>92</v>
      </c>
      <c r="J270">
        <v>48.812675980000002</v>
      </c>
      <c r="K270">
        <v>9.2192278539999997</v>
      </c>
      <c r="L270" t="s">
        <v>4</v>
      </c>
      <c r="M270">
        <v>0</v>
      </c>
      <c r="N270">
        <v>8.5276280000000006E-3</v>
      </c>
      <c r="O270">
        <v>4.9675373000000002E-2</v>
      </c>
      <c r="P270">
        <v>0.121709699</v>
      </c>
      <c r="Q270">
        <v>0.18029656899999999</v>
      </c>
      <c r="R270">
        <v>0.25048442700000001</v>
      </c>
      <c r="S270">
        <v>0.25048442700000001</v>
      </c>
    </row>
    <row r="271" spans="1:19" x14ac:dyDescent="0.25">
      <c r="A271" t="s">
        <v>2</v>
      </c>
      <c r="B271" t="s">
        <v>88</v>
      </c>
      <c r="C271" t="s">
        <v>89</v>
      </c>
      <c r="D271" t="s">
        <v>3</v>
      </c>
      <c r="E271" t="s">
        <v>238</v>
      </c>
      <c r="F271" t="s">
        <v>239</v>
      </c>
      <c r="G271" t="s">
        <v>7</v>
      </c>
      <c r="H271" t="s">
        <v>92</v>
      </c>
      <c r="J271">
        <v>48.764951609999997</v>
      </c>
      <c r="K271">
        <v>11.49198625</v>
      </c>
      <c r="L271" t="s">
        <v>4</v>
      </c>
      <c r="M271">
        <v>0</v>
      </c>
      <c r="N271">
        <v>5.4363629999999996E-3</v>
      </c>
      <c r="O271">
        <v>3.1668051000000003E-2</v>
      </c>
      <c r="P271">
        <v>7.7589933E-2</v>
      </c>
      <c r="Q271">
        <v>0.11493906299999999</v>
      </c>
      <c r="R271">
        <v>0.159683822</v>
      </c>
      <c r="S271">
        <v>0.159683822</v>
      </c>
    </row>
    <row r="272" spans="1:19" x14ac:dyDescent="0.25">
      <c r="A272" t="s">
        <v>2</v>
      </c>
      <c r="B272" t="s">
        <v>88</v>
      </c>
      <c r="C272" t="s">
        <v>89</v>
      </c>
      <c r="D272" t="s">
        <v>3</v>
      </c>
      <c r="E272" t="s">
        <v>123</v>
      </c>
      <c r="F272" t="s">
        <v>124</v>
      </c>
      <c r="G272" t="s">
        <v>7</v>
      </c>
      <c r="H272" t="s">
        <v>92</v>
      </c>
      <c r="J272">
        <v>49.310909559999999</v>
      </c>
      <c r="K272">
        <v>12.085679600000001</v>
      </c>
      <c r="L272" t="s">
        <v>4</v>
      </c>
      <c r="M272">
        <v>0</v>
      </c>
      <c r="N272">
        <v>9.5935810000000003E-3</v>
      </c>
      <c r="O272">
        <v>5.5884795000000001E-2</v>
      </c>
      <c r="P272">
        <v>0.13692341099999999</v>
      </c>
      <c r="Q272">
        <v>0.20283364000000001</v>
      </c>
      <c r="R272">
        <v>0.28179497999999997</v>
      </c>
      <c r="S272">
        <v>0.28179497999999997</v>
      </c>
    </row>
    <row r="273" spans="1:19" x14ac:dyDescent="0.25">
      <c r="A273" t="s">
        <v>2</v>
      </c>
      <c r="B273" t="s">
        <v>88</v>
      </c>
      <c r="C273" t="s">
        <v>89</v>
      </c>
      <c r="D273" t="s">
        <v>3</v>
      </c>
      <c r="E273" t="s">
        <v>240</v>
      </c>
      <c r="F273" t="s">
        <v>241</v>
      </c>
      <c r="G273" t="s">
        <v>7</v>
      </c>
      <c r="H273" t="s">
        <v>92</v>
      </c>
      <c r="J273">
        <v>49.43652823</v>
      </c>
      <c r="K273">
        <v>11.055938429999999</v>
      </c>
      <c r="L273" t="s">
        <v>4</v>
      </c>
      <c r="M273">
        <v>0</v>
      </c>
      <c r="N273">
        <v>4.9137850000000004E-3</v>
      </c>
      <c r="O273">
        <v>2.8623919000000001E-2</v>
      </c>
      <c r="P273">
        <v>7.0131502999999998E-2</v>
      </c>
      <c r="Q273">
        <v>0.10389040099999999</v>
      </c>
      <c r="R273">
        <v>0.14433401400000001</v>
      </c>
      <c r="S273">
        <v>0.14433401400000001</v>
      </c>
    </row>
    <row r="274" spans="1:19" x14ac:dyDescent="0.25">
      <c r="A274" t="s">
        <v>2</v>
      </c>
      <c r="B274" t="s">
        <v>88</v>
      </c>
      <c r="C274" t="s">
        <v>89</v>
      </c>
      <c r="D274" t="s">
        <v>3</v>
      </c>
      <c r="E274" t="s">
        <v>242</v>
      </c>
      <c r="F274" t="s">
        <v>243</v>
      </c>
      <c r="G274" t="s">
        <v>7</v>
      </c>
      <c r="H274" t="s">
        <v>92</v>
      </c>
      <c r="J274">
        <v>49.48472941</v>
      </c>
      <c r="K274">
        <v>8.4277331459999996</v>
      </c>
      <c r="L274" t="s">
        <v>4</v>
      </c>
      <c r="M274">
        <v>0</v>
      </c>
      <c r="N274">
        <v>5.1165769999999998E-3</v>
      </c>
      <c r="O274">
        <v>2.9805224000000002E-2</v>
      </c>
      <c r="P274">
        <v>7.3025819000000006E-2</v>
      </c>
      <c r="Q274">
        <v>0.108177941</v>
      </c>
      <c r="R274">
        <v>0.15029065599999999</v>
      </c>
      <c r="S274">
        <v>0.15029065599999999</v>
      </c>
    </row>
    <row r="275" spans="1:19" x14ac:dyDescent="0.25">
      <c r="A275" t="s">
        <v>2</v>
      </c>
      <c r="B275" t="s">
        <v>88</v>
      </c>
      <c r="C275" t="s">
        <v>89</v>
      </c>
      <c r="D275" t="s">
        <v>3</v>
      </c>
      <c r="E275" t="s">
        <v>244</v>
      </c>
      <c r="F275" t="s">
        <v>245</v>
      </c>
      <c r="G275" t="s">
        <v>7</v>
      </c>
      <c r="H275" t="s">
        <v>92</v>
      </c>
      <c r="J275">
        <v>49.228362009999998</v>
      </c>
      <c r="K275">
        <v>7.5947836420000003</v>
      </c>
      <c r="L275" t="s">
        <v>4</v>
      </c>
      <c r="M275">
        <v>0</v>
      </c>
      <c r="N275">
        <v>3.837432E-3</v>
      </c>
      <c r="O275">
        <v>2.2353918E-2</v>
      </c>
      <c r="P275">
        <v>5.4769364000000001E-2</v>
      </c>
      <c r="Q275">
        <v>8.1133456000000007E-2</v>
      </c>
      <c r="R275">
        <v>0.112717992</v>
      </c>
      <c r="S275">
        <v>0.112717992</v>
      </c>
    </row>
    <row r="276" spans="1:19" x14ac:dyDescent="0.25">
      <c r="A276" t="s">
        <v>2</v>
      </c>
      <c r="B276" t="s">
        <v>88</v>
      </c>
      <c r="C276" t="s">
        <v>89</v>
      </c>
      <c r="D276" t="s">
        <v>3</v>
      </c>
      <c r="E276" t="s">
        <v>246</v>
      </c>
      <c r="F276" t="s">
        <v>247</v>
      </c>
      <c r="G276" t="s">
        <v>7</v>
      </c>
      <c r="H276" t="s">
        <v>92</v>
      </c>
      <c r="J276">
        <v>49.338381650000002</v>
      </c>
      <c r="K276">
        <v>7.1695241310000002</v>
      </c>
      <c r="L276" t="s">
        <v>4</v>
      </c>
      <c r="M276">
        <v>0</v>
      </c>
      <c r="N276">
        <v>3.837432E-3</v>
      </c>
      <c r="O276">
        <v>2.2353918E-2</v>
      </c>
      <c r="P276">
        <v>5.4769364000000001E-2</v>
      </c>
      <c r="Q276">
        <v>8.1133456000000007E-2</v>
      </c>
      <c r="R276">
        <v>0.112717992</v>
      </c>
      <c r="S276">
        <v>0.112717992</v>
      </c>
    </row>
    <row r="277" spans="1:19" x14ac:dyDescent="0.25">
      <c r="A277" t="s">
        <v>2</v>
      </c>
      <c r="B277" t="s">
        <v>88</v>
      </c>
      <c r="C277" t="s">
        <v>89</v>
      </c>
      <c r="D277" t="s">
        <v>3</v>
      </c>
      <c r="E277" t="s">
        <v>248</v>
      </c>
      <c r="F277" t="s">
        <v>249</v>
      </c>
      <c r="G277" t="s">
        <v>7</v>
      </c>
      <c r="H277" t="s">
        <v>92</v>
      </c>
      <c r="J277">
        <v>49.21418405</v>
      </c>
      <c r="K277">
        <v>6.8342256749999999</v>
      </c>
      <c r="L277" t="s">
        <v>4</v>
      </c>
      <c r="M277">
        <v>0</v>
      </c>
      <c r="N277">
        <v>5.4363629999999996E-3</v>
      </c>
      <c r="O277">
        <v>3.1668051000000003E-2</v>
      </c>
      <c r="P277">
        <v>7.7589933E-2</v>
      </c>
      <c r="Q277">
        <v>0.11493906299999999</v>
      </c>
      <c r="R277">
        <v>0.159683822</v>
      </c>
      <c r="S277">
        <v>0.159683822</v>
      </c>
    </row>
    <row r="278" spans="1:19" x14ac:dyDescent="0.25">
      <c r="A278" t="s">
        <v>2</v>
      </c>
      <c r="B278" t="s">
        <v>88</v>
      </c>
      <c r="C278" t="s">
        <v>89</v>
      </c>
      <c r="D278" t="s">
        <v>3</v>
      </c>
      <c r="E278" t="s">
        <v>250</v>
      </c>
      <c r="F278" t="s">
        <v>251</v>
      </c>
      <c r="G278" t="s">
        <v>7</v>
      </c>
      <c r="H278" t="s">
        <v>92</v>
      </c>
      <c r="J278">
        <v>49.524153130000002</v>
      </c>
      <c r="K278">
        <v>8.452034823</v>
      </c>
      <c r="L278" t="s">
        <v>4</v>
      </c>
      <c r="M278">
        <v>0</v>
      </c>
      <c r="N278">
        <v>1.4923347999999999E-2</v>
      </c>
      <c r="O278">
        <v>8.6931904000000004E-2</v>
      </c>
      <c r="P278">
        <v>0.212991972</v>
      </c>
      <c r="Q278">
        <v>0.31551899500000002</v>
      </c>
      <c r="R278">
        <v>0.43834774700000001</v>
      </c>
      <c r="S278">
        <v>0.43834774700000001</v>
      </c>
    </row>
    <row r="279" spans="1:19" x14ac:dyDescent="0.25">
      <c r="A279" t="s">
        <v>2</v>
      </c>
      <c r="B279" t="s">
        <v>88</v>
      </c>
      <c r="C279" t="s">
        <v>89</v>
      </c>
      <c r="D279" t="s">
        <v>3</v>
      </c>
      <c r="E279" t="s">
        <v>252</v>
      </c>
      <c r="F279" t="s">
        <v>253</v>
      </c>
      <c r="G279" t="s">
        <v>7</v>
      </c>
      <c r="H279" t="s">
        <v>92</v>
      </c>
      <c r="J279">
        <v>49.9112607</v>
      </c>
      <c r="K279">
        <v>10.8544523</v>
      </c>
      <c r="L279" t="s">
        <v>4</v>
      </c>
      <c r="M279">
        <v>0</v>
      </c>
      <c r="N279">
        <v>2.5445160000000001E-3</v>
      </c>
      <c r="O279">
        <v>1.4822386E-2</v>
      </c>
      <c r="P279">
        <v>3.6316347999999998E-2</v>
      </c>
      <c r="Q279">
        <v>5.3797791999999997E-2</v>
      </c>
      <c r="R279">
        <v>7.4740795999999998E-2</v>
      </c>
      <c r="S279">
        <v>7.4740795999999998E-2</v>
      </c>
    </row>
    <row r="280" spans="1:19" x14ac:dyDescent="0.25">
      <c r="A280" t="s">
        <v>2</v>
      </c>
      <c r="B280" t="s">
        <v>88</v>
      </c>
      <c r="C280" t="s">
        <v>89</v>
      </c>
      <c r="D280" t="s">
        <v>3</v>
      </c>
      <c r="E280" t="s">
        <v>254</v>
      </c>
      <c r="F280" t="s">
        <v>255</v>
      </c>
      <c r="G280" t="s">
        <v>7</v>
      </c>
      <c r="H280" t="s">
        <v>92</v>
      </c>
      <c r="J280">
        <v>50.284546259999999</v>
      </c>
      <c r="K280">
        <v>10.9548916</v>
      </c>
      <c r="L280" t="s">
        <v>4</v>
      </c>
      <c r="M280">
        <v>0</v>
      </c>
      <c r="N280">
        <v>3.0273079999999998E-3</v>
      </c>
      <c r="O280">
        <v>1.7634758E-2</v>
      </c>
      <c r="P280">
        <v>4.3206942999999998E-2</v>
      </c>
      <c r="Q280">
        <v>6.4005281999999997E-2</v>
      </c>
      <c r="R280">
        <v>8.8921971000000002E-2</v>
      </c>
      <c r="S280">
        <v>8.8921971000000002E-2</v>
      </c>
    </row>
    <row r="281" spans="1:19" x14ac:dyDescent="0.25">
      <c r="A281" t="s">
        <v>2</v>
      </c>
      <c r="B281" t="s">
        <v>88</v>
      </c>
      <c r="C281" t="s">
        <v>89</v>
      </c>
      <c r="D281" t="s">
        <v>3</v>
      </c>
      <c r="E281" t="s">
        <v>256</v>
      </c>
      <c r="F281" t="s">
        <v>257</v>
      </c>
      <c r="G281" t="s">
        <v>7</v>
      </c>
      <c r="H281" t="s">
        <v>92</v>
      </c>
      <c r="J281">
        <v>50.030026589999999</v>
      </c>
      <c r="K281">
        <v>10.22397774</v>
      </c>
      <c r="L281" t="s">
        <v>4</v>
      </c>
      <c r="M281">
        <v>0</v>
      </c>
      <c r="N281">
        <v>4.1742740000000004E-3</v>
      </c>
      <c r="O281">
        <v>2.4316094999999999E-2</v>
      </c>
      <c r="P281">
        <v>5.9576896999999997E-2</v>
      </c>
      <c r="Q281">
        <v>8.8255169999999994E-2</v>
      </c>
      <c r="R281">
        <v>0.122612127</v>
      </c>
      <c r="S281">
        <v>0.122612127</v>
      </c>
    </row>
    <row r="282" spans="1:19" x14ac:dyDescent="0.25">
      <c r="A282" t="s">
        <v>2</v>
      </c>
      <c r="B282" t="s">
        <v>88</v>
      </c>
      <c r="C282" t="s">
        <v>89</v>
      </c>
      <c r="D282" t="s">
        <v>3</v>
      </c>
      <c r="E282" t="s">
        <v>258</v>
      </c>
      <c r="F282" t="s">
        <v>259</v>
      </c>
      <c r="G282" t="s">
        <v>7</v>
      </c>
      <c r="H282" t="s">
        <v>92</v>
      </c>
      <c r="J282">
        <v>49.79306038</v>
      </c>
      <c r="K282">
        <v>9.9938927960000008</v>
      </c>
      <c r="L282" t="s">
        <v>4</v>
      </c>
      <c r="M282">
        <v>0</v>
      </c>
      <c r="N282">
        <v>4.2638140000000003E-3</v>
      </c>
      <c r="O282">
        <v>2.4837687000000001E-2</v>
      </c>
      <c r="P282">
        <v>6.0854849000000003E-2</v>
      </c>
      <c r="Q282">
        <v>9.0148283999999995E-2</v>
      </c>
      <c r="R282">
        <v>0.12524221299999999</v>
      </c>
      <c r="S282">
        <v>0.12524221299999999</v>
      </c>
    </row>
    <row r="283" spans="1:19" x14ac:dyDescent="0.25">
      <c r="A283" t="s">
        <v>2</v>
      </c>
      <c r="B283" t="s">
        <v>88</v>
      </c>
      <c r="C283" t="s">
        <v>89</v>
      </c>
      <c r="D283" t="s">
        <v>3</v>
      </c>
      <c r="E283" t="s">
        <v>260</v>
      </c>
      <c r="F283" t="s">
        <v>261</v>
      </c>
      <c r="G283" t="s">
        <v>7</v>
      </c>
      <c r="H283" t="s">
        <v>92</v>
      </c>
      <c r="J283">
        <v>50.065175170000003</v>
      </c>
      <c r="K283">
        <v>8.7686207950000004</v>
      </c>
      <c r="L283" t="s">
        <v>4</v>
      </c>
      <c r="M283">
        <v>0</v>
      </c>
      <c r="N283">
        <v>6.395721E-3</v>
      </c>
      <c r="O283">
        <v>3.7256530000000003E-2</v>
      </c>
      <c r="P283">
        <v>9.1282273999999997E-2</v>
      </c>
      <c r="Q283">
        <v>0.13522242700000001</v>
      </c>
      <c r="R283">
        <v>0.18786332</v>
      </c>
      <c r="S283">
        <v>0.18786332</v>
      </c>
    </row>
    <row r="284" spans="1:19" x14ac:dyDescent="0.25">
      <c r="A284" t="s">
        <v>2</v>
      </c>
      <c r="B284" t="s">
        <v>88</v>
      </c>
      <c r="C284" t="s">
        <v>89</v>
      </c>
      <c r="D284" t="s">
        <v>3</v>
      </c>
      <c r="E284" t="s">
        <v>262</v>
      </c>
      <c r="F284" t="s">
        <v>263</v>
      </c>
      <c r="G284" t="s">
        <v>7</v>
      </c>
      <c r="H284" t="s">
        <v>92</v>
      </c>
      <c r="J284">
        <v>50.161785950000002</v>
      </c>
      <c r="K284">
        <v>8.635333481</v>
      </c>
      <c r="L284" t="s">
        <v>4</v>
      </c>
      <c r="M284">
        <v>0</v>
      </c>
      <c r="N284">
        <v>1.4390372E-2</v>
      </c>
      <c r="O284">
        <v>8.3827192999999994E-2</v>
      </c>
      <c r="P284">
        <v>0.20538511600000001</v>
      </c>
      <c r="Q284">
        <v>0.30425046</v>
      </c>
      <c r="R284">
        <v>0.42269246999999999</v>
      </c>
      <c r="S284">
        <v>0.42269246999999999</v>
      </c>
    </row>
    <row r="285" spans="1:19" x14ac:dyDescent="0.25">
      <c r="A285" t="s">
        <v>2</v>
      </c>
      <c r="B285" t="s">
        <v>88</v>
      </c>
      <c r="C285" t="s">
        <v>89</v>
      </c>
      <c r="D285" t="s">
        <v>3</v>
      </c>
      <c r="E285" t="s">
        <v>113</v>
      </c>
      <c r="F285" t="s">
        <v>114</v>
      </c>
      <c r="G285" t="s">
        <v>7</v>
      </c>
      <c r="H285" t="s">
        <v>92</v>
      </c>
      <c r="J285">
        <v>50.02556878</v>
      </c>
      <c r="K285">
        <v>8.2429430860000004</v>
      </c>
      <c r="L285" t="s">
        <v>4</v>
      </c>
      <c r="M285">
        <v>0</v>
      </c>
      <c r="N285">
        <v>7.2484840000000004E-3</v>
      </c>
      <c r="O285">
        <v>4.2224066999999997E-2</v>
      </c>
      <c r="P285">
        <v>0.103453244</v>
      </c>
      <c r="Q285">
        <v>0.15325208300000001</v>
      </c>
      <c r="R285">
        <v>0.212911763</v>
      </c>
      <c r="S285">
        <v>0.212911763</v>
      </c>
    </row>
    <row r="286" spans="1:19" x14ac:dyDescent="0.25">
      <c r="A286" t="s">
        <v>2</v>
      </c>
      <c r="B286" t="s">
        <v>88</v>
      </c>
      <c r="C286" t="s">
        <v>89</v>
      </c>
      <c r="D286" t="s">
        <v>3</v>
      </c>
      <c r="E286" t="s">
        <v>113</v>
      </c>
      <c r="F286" t="s">
        <v>114</v>
      </c>
      <c r="G286" t="s">
        <v>7</v>
      </c>
      <c r="H286" t="s">
        <v>92</v>
      </c>
      <c r="J286">
        <v>50.042577919999999</v>
      </c>
      <c r="K286">
        <v>8.2625523960000002</v>
      </c>
      <c r="L286" t="s">
        <v>4</v>
      </c>
      <c r="M286">
        <v>0</v>
      </c>
      <c r="N286">
        <v>4.1572179999999999E-3</v>
      </c>
      <c r="O286">
        <v>2.4216745000000001E-2</v>
      </c>
      <c r="P286">
        <v>5.9333478000000002E-2</v>
      </c>
      <c r="Q286">
        <v>8.7894577000000002E-2</v>
      </c>
      <c r="R286">
        <v>0.122111158</v>
      </c>
      <c r="S286">
        <v>0.122111158</v>
      </c>
    </row>
    <row r="287" spans="1:19" x14ac:dyDescent="0.25">
      <c r="A287" t="s">
        <v>2</v>
      </c>
      <c r="B287" t="s">
        <v>88</v>
      </c>
      <c r="C287" t="s">
        <v>89</v>
      </c>
      <c r="D287" t="s">
        <v>3</v>
      </c>
      <c r="E287" t="s">
        <v>262</v>
      </c>
      <c r="F287" t="s">
        <v>263</v>
      </c>
      <c r="G287" t="s">
        <v>7</v>
      </c>
      <c r="H287" t="s">
        <v>92</v>
      </c>
      <c r="J287">
        <v>50.07995081</v>
      </c>
      <c r="K287">
        <v>8.5324263560000002</v>
      </c>
      <c r="L287" t="s">
        <v>4</v>
      </c>
      <c r="M287">
        <v>0</v>
      </c>
      <c r="N287">
        <v>1.4923347999999999E-2</v>
      </c>
      <c r="O287">
        <v>8.6931904000000004E-2</v>
      </c>
      <c r="P287">
        <v>0.212991972</v>
      </c>
      <c r="Q287">
        <v>0.31551899500000002</v>
      </c>
      <c r="R287">
        <v>0.43834774700000001</v>
      </c>
      <c r="S287">
        <v>0.43834774700000001</v>
      </c>
    </row>
    <row r="288" spans="1:19" x14ac:dyDescent="0.25">
      <c r="A288" t="s">
        <v>2</v>
      </c>
      <c r="B288" t="s">
        <v>88</v>
      </c>
      <c r="C288" t="s">
        <v>89</v>
      </c>
      <c r="D288" t="s">
        <v>3</v>
      </c>
      <c r="E288" t="s">
        <v>264</v>
      </c>
      <c r="F288" t="s">
        <v>265</v>
      </c>
      <c r="G288" t="s">
        <v>7</v>
      </c>
      <c r="H288" t="s">
        <v>92</v>
      </c>
      <c r="J288">
        <v>49.883550450000001</v>
      </c>
      <c r="K288">
        <v>8.6452617810000003</v>
      </c>
      <c r="L288" t="s">
        <v>4</v>
      </c>
      <c r="M288">
        <v>0</v>
      </c>
      <c r="N288">
        <v>4.5196400000000001E-4</v>
      </c>
      <c r="O288">
        <v>2.6327949999999998E-3</v>
      </c>
      <c r="P288">
        <v>6.4506140000000003E-3</v>
      </c>
      <c r="Q288">
        <v>9.5557179999999995E-3</v>
      </c>
      <c r="R288">
        <v>1.3275675000000001E-2</v>
      </c>
      <c r="S288">
        <v>1.3275675000000001E-2</v>
      </c>
    </row>
    <row r="289" spans="1:19" x14ac:dyDescent="0.25">
      <c r="A289" t="s">
        <v>2</v>
      </c>
      <c r="B289" t="s">
        <v>88</v>
      </c>
      <c r="C289" t="s">
        <v>89</v>
      </c>
      <c r="D289" t="s">
        <v>3</v>
      </c>
      <c r="E289" t="s">
        <v>266</v>
      </c>
      <c r="F289" t="s">
        <v>267</v>
      </c>
      <c r="G289" t="s">
        <v>7</v>
      </c>
      <c r="H289" t="s">
        <v>92</v>
      </c>
      <c r="J289">
        <v>50.686880760000001</v>
      </c>
      <c r="K289">
        <v>11.33025072</v>
      </c>
      <c r="L289" t="s">
        <v>4</v>
      </c>
      <c r="M289">
        <v>0</v>
      </c>
      <c r="N289">
        <v>1.705526E-3</v>
      </c>
      <c r="O289">
        <v>9.9350749999999998E-3</v>
      </c>
      <c r="P289">
        <v>2.4341939999999999E-2</v>
      </c>
      <c r="Q289">
        <v>3.6059314000000002E-2</v>
      </c>
      <c r="R289">
        <v>5.0096885000000001E-2</v>
      </c>
      <c r="S289">
        <v>5.0096885000000001E-2</v>
      </c>
    </row>
    <row r="290" spans="1:19" x14ac:dyDescent="0.25">
      <c r="A290" t="s">
        <v>2</v>
      </c>
      <c r="B290" t="s">
        <v>88</v>
      </c>
      <c r="C290" t="s">
        <v>89</v>
      </c>
      <c r="D290" t="s">
        <v>3</v>
      </c>
      <c r="E290" t="s">
        <v>268</v>
      </c>
      <c r="F290" t="s">
        <v>269</v>
      </c>
      <c r="G290" t="s">
        <v>7</v>
      </c>
      <c r="H290" t="s">
        <v>92</v>
      </c>
      <c r="J290">
        <v>50.638619630000001</v>
      </c>
      <c r="K290">
        <v>10.68675861</v>
      </c>
      <c r="L290" t="s">
        <v>4</v>
      </c>
      <c r="M290">
        <v>0</v>
      </c>
      <c r="N290">
        <v>3.411051E-3</v>
      </c>
      <c r="O290">
        <v>1.9870149E-2</v>
      </c>
      <c r="P290">
        <v>4.8683878999999999E-2</v>
      </c>
      <c r="Q290">
        <v>7.2118627000000005E-2</v>
      </c>
      <c r="R290">
        <v>0.100193771</v>
      </c>
      <c r="S290">
        <v>0.100193771</v>
      </c>
    </row>
    <row r="291" spans="1:19" x14ac:dyDescent="0.25">
      <c r="A291" t="s">
        <v>2</v>
      </c>
      <c r="B291" t="s">
        <v>88</v>
      </c>
      <c r="C291" t="s">
        <v>89</v>
      </c>
      <c r="D291" t="s">
        <v>3</v>
      </c>
      <c r="E291" t="s">
        <v>270</v>
      </c>
      <c r="F291" t="s">
        <v>271</v>
      </c>
      <c r="G291" t="s">
        <v>7</v>
      </c>
      <c r="H291" t="s">
        <v>92</v>
      </c>
      <c r="J291">
        <v>50.567930369999999</v>
      </c>
      <c r="K291">
        <v>8.6788467249999997</v>
      </c>
      <c r="L291" t="s">
        <v>4</v>
      </c>
      <c r="M291">
        <v>0</v>
      </c>
      <c r="N291">
        <v>1.108592E-3</v>
      </c>
      <c r="O291">
        <v>6.4577990000000002E-3</v>
      </c>
      <c r="P291">
        <v>1.5822261000000001E-2</v>
      </c>
      <c r="Q291">
        <v>2.3438554E-2</v>
      </c>
      <c r="R291">
        <v>3.2562975000000001E-2</v>
      </c>
      <c r="S291">
        <v>3.2562975000000001E-2</v>
      </c>
    </row>
    <row r="292" spans="1:19" x14ac:dyDescent="0.25">
      <c r="A292" t="s">
        <v>2</v>
      </c>
      <c r="B292" t="s">
        <v>88</v>
      </c>
      <c r="C292" t="s">
        <v>89</v>
      </c>
      <c r="D292" t="s">
        <v>3</v>
      </c>
      <c r="E292" t="s">
        <v>272</v>
      </c>
      <c r="F292" t="s">
        <v>273</v>
      </c>
      <c r="G292" t="s">
        <v>7</v>
      </c>
      <c r="H292" t="s">
        <v>92</v>
      </c>
      <c r="J292">
        <v>50.434591400000002</v>
      </c>
      <c r="K292">
        <v>7.4319558109999999</v>
      </c>
      <c r="L292" t="s">
        <v>4</v>
      </c>
      <c r="M292">
        <v>0</v>
      </c>
      <c r="N292">
        <v>2.98467E-3</v>
      </c>
      <c r="O292">
        <v>1.7386380999999999E-2</v>
      </c>
      <c r="P292">
        <v>4.2598393999999998E-2</v>
      </c>
      <c r="Q292">
        <v>6.3103799000000002E-2</v>
      </c>
      <c r="R292">
        <v>8.7669548999999999E-2</v>
      </c>
      <c r="S292">
        <v>8.7669548999999999E-2</v>
      </c>
    </row>
    <row r="293" spans="1:19" x14ac:dyDescent="0.25">
      <c r="A293" t="s">
        <v>2</v>
      </c>
      <c r="B293" t="s">
        <v>88</v>
      </c>
      <c r="C293" t="s">
        <v>89</v>
      </c>
      <c r="D293" t="s">
        <v>3</v>
      </c>
      <c r="E293" t="s">
        <v>274</v>
      </c>
      <c r="F293" t="s">
        <v>275</v>
      </c>
      <c r="G293" t="s">
        <v>7</v>
      </c>
      <c r="H293" t="s">
        <v>92</v>
      </c>
      <c r="J293">
        <v>51.019662080000003</v>
      </c>
      <c r="K293">
        <v>11.04083041</v>
      </c>
      <c r="L293" t="s">
        <v>4</v>
      </c>
      <c r="M293">
        <v>0</v>
      </c>
      <c r="N293">
        <v>1.5989299999999999E-3</v>
      </c>
      <c r="O293">
        <v>9.3141330000000005E-3</v>
      </c>
      <c r="P293">
        <v>2.2820567999999999E-2</v>
      </c>
      <c r="Q293">
        <v>3.3805607000000001E-2</v>
      </c>
      <c r="R293">
        <v>4.696583E-2</v>
      </c>
      <c r="S293">
        <v>4.696583E-2</v>
      </c>
    </row>
    <row r="294" spans="1:19" x14ac:dyDescent="0.25">
      <c r="A294" t="s">
        <v>2</v>
      </c>
      <c r="B294" t="s">
        <v>88</v>
      </c>
      <c r="C294" t="s">
        <v>89</v>
      </c>
      <c r="D294" t="s">
        <v>3</v>
      </c>
      <c r="E294" t="s">
        <v>276</v>
      </c>
      <c r="F294" t="s">
        <v>277</v>
      </c>
      <c r="G294" t="s">
        <v>7</v>
      </c>
      <c r="H294" t="s">
        <v>92</v>
      </c>
      <c r="J294">
        <v>50.893422319999999</v>
      </c>
      <c r="K294">
        <v>10.00017514</v>
      </c>
      <c r="L294" t="s">
        <v>4</v>
      </c>
      <c r="M294">
        <v>0</v>
      </c>
      <c r="N294">
        <v>6.344555E-3</v>
      </c>
      <c r="O294">
        <v>3.6958478000000003E-2</v>
      </c>
      <c r="P294">
        <v>9.0552015999999999E-2</v>
      </c>
      <c r="Q294">
        <v>0.134140647</v>
      </c>
      <c r="R294">
        <v>0.186360413</v>
      </c>
      <c r="S294">
        <v>0.186360413</v>
      </c>
    </row>
    <row r="295" spans="1:19" x14ac:dyDescent="0.25">
      <c r="A295" t="s">
        <v>2</v>
      </c>
      <c r="B295" t="s">
        <v>88</v>
      </c>
      <c r="C295" t="s">
        <v>89</v>
      </c>
      <c r="D295" t="s">
        <v>3</v>
      </c>
      <c r="E295" t="s">
        <v>278</v>
      </c>
      <c r="F295" t="s">
        <v>279</v>
      </c>
      <c r="G295" t="s">
        <v>7</v>
      </c>
      <c r="H295" t="s">
        <v>92</v>
      </c>
      <c r="J295">
        <v>50.73387829</v>
      </c>
      <c r="K295">
        <v>7.0774461679999998</v>
      </c>
      <c r="L295" t="s">
        <v>4</v>
      </c>
      <c r="M295">
        <v>0</v>
      </c>
      <c r="N295">
        <v>5.5429579999999997E-3</v>
      </c>
      <c r="O295">
        <v>3.2288993000000002E-2</v>
      </c>
      <c r="P295">
        <v>7.9111303999999993E-2</v>
      </c>
      <c r="Q295">
        <v>0.11719277</v>
      </c>
      <c r="R295">
        <v>0.162814877</v>
      </c>
      <c r="S295">
        <v>0.162814877</v>
      </c>
    </row>
    <row r="296" spans="1:19" x14ac:dyDescent="0.25">
      <c r="A296" t="s">
        <v>2</v>
      </c>
      <c r="B296" t="s">
        <v>88</v>
      </c>
      <c r="C296" t="s">
        <v>89</v>
      </c>
      <c r="D296" t="s">
        <v>3</v>
      </c>
      <c r="E296" t="s">
        <v>280</v>
      </c>
      <c r="F296" t="s">
        <v>281</v>
      </c>
      <c r="G296" t="s">
        <v>7</v>
      </c>
      <c r="H296" t="s">
        <v>92</v>
      </c>
      <c r="J296">
        <v>50.857043779999998</v>
      </c>
      <c r="K296">
        <v>6.8430443250000001</v>
      </c>
      <c r="L296" t="s">
        <v>4</v>
      </c>
      <c r="M296">
        <v>0</v>
      </c>
      <c r="N296">
        <v>6.822102E-3</v>
      </c>
      <c r="O296">
        <v>3.9740299E-2</v>
      </c>
      <c r="P296">
        <v>9.7367758999999998E-2</v>
      </c>
      <c r="Q296">
        <v>0.14423725500000001</v>
      </c>
      <c r="R296">
        <v>0.200387541</v>
      </c>
      <c r="S296">
        <v>0.200387541</v>
      </c>
    </row>
    <row r="297" spans="1:19" x14ac:dyDescent="0.25">
      <c r="A297" t="s">
        <v>2</v>
      </c>
      <c r="B297" t="s">
        <v>88</v>
      </c>
      <c r="C297" t="s">
        <v>89</v>
      </c>
      <c r="D297" t="s">
        <v>3</v>
      </c>
      <c r="E297" t="s">
        <v>282</v>
      </c>
      <c r="F297" t="s">
        <v>283</v>
      </c>
      <c r="G297" t="s">
        <v>7</v>
      </c>
      <c r="H297" t="s">
        <v>92</v>
      </c>
      <c r="J297">
        <v>50.840744149999999</v>
      </c>
      <c r="K297">
        <v>6.3146604079999999</v>
      </c>
      <c r="L297" t="s">
        <v>4</v>
      </c>
      <c r="M297">
        <v>0</v>
      </c>
      <c r="N297">
        <v>7.6748650000000003E-3</v>
      </c>
      <c r="O297">
        <v>4.4707836000000001E-2</v>
      </c>
      <c r="P297">
        <v>0.109538729</v>
      </c>
      <c r="Q297">
        <v>0.16226691200000001</v>
      </c>
      <c r="R297">
        <v>0.22543598400000001</v>
      </c>
      <c r="S297">
        <v>0.22543598400000001</v>
      </c>
    </row>
    <row r="298" spans="1:19" x14ac:dyDescent="0.25">
      <c r="A298" t="s">
        <v>2</v>
      </c>
      <c r="B298" t="s">
        <v>88</v>
      </c>
      <c r="C298" t="s">
        <v>89</v>
      </c>
      <c r="D298" t="s">
        <v>3</v>
      </c>
      <c r="E298" t="s">
        <v>284</v>
      </c>
      <c r="F298" t="s">
        <v>285</v>
      </c>
      <c r="G298" t="s">
        <v>7</v>
      </c>
      <c r="H298" t="s">
        <v>92</v>
      </c>
      <c r="J298">
        <v>51.000084209999997</v>
      </c>
      <c r="K298">
        <v>6.9410077780000004</v>
      </c>
      <c r="L298" t="s">
        <v>4</v>
      </c>
      <c r="M298">
        <v>0</v>
      </c>
      <c r="N298">
        <v>1.6735468999999999E-2</v>
      </c>
      <c r="O298">
        <v>9.7487920000000006E-2</v>
      </c>
      <c r="P298">
        <v>0.238855283</v>
      </c>
      <c r="Q298">
        <v>0.35383201600000003</v>
      </c>
      <c r="R298">
        <v>0.49157568699999998</v>
      </c>
      <c r="S298">
        <v>0.49157568699999998</v>
      </c>
    </row>
    <row r="299" spans="1:19" x14ac:dyDescent="0.25">
      <c r="A299" t="s">
        <v>2</v>
      </c>
      <c r="B299" t="s">
        <v>88</v>
      </c>
      <c r="C299" t="s">
        <v>89</v>
      </c>
      <c r="D299" t="s">
        <v>3</v>
      </c>
      <c r="E299" t="s">
        <v>286</v>
      </c>
      <c r="F299" t="s">
        <v>287</v>
      </c>
      <c r="G299" t="s">
        <v>7</v>
      </c>
      <c r="H299" t="s">
        <v>92</v>
      </c>
      <c r="J299">
        <v>51.043500209999998</v>
      </c>
      <c r="K299">
        <v>7.0033772010000002</v>
      </c>
      <c r="L299" t="s">
        <v>4</v>
      </c>
      <c r="M299">
        <v>0</v>
      </c>
      <c r="N299">
        <v>5.9761609999999998E-3</v>
      </c>
      <c r="O299">
        <v>3.4812502000000002E-2</v>
      </c>
      <c r="P299">
        <v>8.5294156999999995E-2</v>
      </c>
      <c r="Q299">
        <v>0.126351835</v>
      </c>
      <c r="R299">
        <v>0.17553948599999999</v>
      </c>
      <c r="S299">
        <v>0.17553948599999999</v>
      </c>
    </row>
    <row r="300" spans="1:19" x14ac:dyDescent="0.25">
      <c r="A300" t="s">
        <v>2</v>
      </c>
      <c r="B300" t="s">
        <v>88</v>
      </c>
      <c r="C300" t="s">
        <v>89</v>
      </c>
      <c r="D300" t="s">
        <v>3</v>
      </c>
      <c r="E300" t="s">
        <v>288</v>
      </c>
      <c r="F300" t="s">
        <v>289</v>
      </c>
      <c r="G300" t="s">
        <v>7</v>
      </c>
      <c r="H300" t="s">
        <v>92</v>
      </c>
      <c r="J300">
        <v>51.179356550000001</v>
      </c>
      <c r="K300">
        <v>7.0718129559999996</v>
      </c>
      <c r="L300" t="s">
        <v>4</v>
      </c>
      <c r="M300">
        <v>0</v>
      </c>
      <c r="N300">
        <v>3.7308369999999999E-3</v>
      </c>
      <c r="O300">
        <v>2.1732976000000001E-2</v>
      </c>
      <c r="P300">
        <v>5.3247993E-2</v>
      </c>
      <c r="Q300">
        <v>7.8879748999999999E-2</v>
      </c>
      <c r="R300">
        <v>0.109586937</v>
      </c>
      <c r="S300">
        <v>0.109586937</v>
      </c>
    </row>
    <row r="301" spans="1:19" x14ac:dyDescent="0.25">
      <c r="A301" t="s">
        <v>2</v>
      </c>
      <c r="B301" t="s">
        <v>88</v>
      </c>
      <c r="C301" t="s">
        <v>89</v>
      </c>
      <c r="D301" t="s">
        <v>3</v>
      </c>
      <c r="E301" t="s">
        <v>148</v>
      </c>
      <c r="F301" t="s">
        <v>149</v>
      </c>
      <c r="G301" t="s">
        <v>7</v>
      </c>
      <c r="H301" t="s">
        <v>92</v>
      </c>
      <c r="J301">
        <v>51.225158819999997</v>
      </c>
      <c r="K301">
        <v>7.1421867929999996</v>
      </c>
      <c r="L301" t="s">
        <v>4</v>
      </c>
      <c r="M301">
        <v>0</v>
      </c>
      <c r="N301">
        <v>9.1778169999999996E-3</v>
      </c>
      <c r="O301">
        <v>5.3462872000000002E-2</v>
      </c>
      <c r="P301">
        <v>0.130989455</v>
      </c>
      <c r="Q301">
        <v>0.19404328100000001</v>
      </c>
      <c r="R301">
        <v>0.269582612</v>
      </c>
      <c r="S301">
        <v>0.269582612</v>
      </c>
    </row>
    <row r="302" spans="1:19" x14ac:dyDescent="0.25">
      <c r="A302" t="s">
        <v>2</v>
      </c>
      <c r="B302" t="s">
        <v>88</v>
      </c>
      <c r="C302" t="s">
        <v>89</v>
      </c>
      <c r="D302" t="s">
        <v>3</v>
      </c>
      <c r="E302" t="s">
        <v>290</v>
      </c>
      <c r="F302" t="s">
        <v>291</v>
      </c>
      <c r="G302" t="s">
        <v>7</v>
      </c>
      <c r="H302" t="s">
        <v>92</v>
      </c>
      <c r="J302">
        <v>51.225213240000002</v>
      </c>
      <c r="K302">
        <v>6.8231294729999998</v>
      </c>
      <c r="L302" t="s">
        <v>4</v>
      </c>
      <c r="M302">
        <v>0</v>
      </c>
      <c r="N302">
        <v>9.5935810000000003E-3</v>
      </c>
      <c r="O302">
        <v>5.5884795000000001E-2</v>
      </c>
      <c r="P302">
        <v>0.13692341099999999</v>
      </c>
      <c r="Q302">
        <v>0.20283364000000001</v>
      </c>
      <c r="R302">
        <v>0.28179497999999997</v>
      </c>
      <c r="S302">
        <v>0.28179497999999997</v>
      </c>
    </row>
    <row r="303" spans="1:19" x14ac:dyDescent="0.25">
      <c r="A303" t="s">
        <v>2</v>
      </c>
      <c r="B303" t="s">
        <v>88</v>
      </c>
      <c r="C303" t="s">
        <v>89</v>
      </c>
      <c r="D303" t="s">
        <v>3</v>
      </c>
      <c r="E303" t="s">
        <v>168</v>
      </c>
      <c r="F303" t="s">
        <v>292</v>
      </c>
      <c r="G303" t="s">
        <v>7</v>
      </c>
      <c r="H303" t="s">
        <v>92</v>
      </c>
      <c r="J303">
        <v>51.397204600000002</v>
      </c>
      <c r="K303">
        <v>7.6966569219999998</v>
      </c>
      <c r="L303" t="s">
        <v>4</v>
      </c>
      <c r="M303">
        <v>0</v>
      </c>
      <c r="N303">
        <v>6.2891249999999996E-3</v>
      </c>
      <c r="O303">
        <v>3.6635587999999997E-2</v>
      </c>
      <c r="P303">
        <v>8.9760903000000003E-2</v>
      </c>
      <c r="Q303">
        <v>0.13296871900000001</v>
      </c>
      <c r="R303">
        <v>0.18473226500000001</v>
      </c>
      <c r="S303">
        <v>0.18473226500000001</v>
      </c>
    </row>
    <row r="304" spans="1:19" x14ac:dyDescent="0.25">
      <c r="A304" t="s">
        <v>2</v>
      </c>
      <c r="B304" t="s">
        <v>88</v>
      </c>
      <c r="C304" t="s">
        <v>89</v>
      </c>
      <c r="D304" t="s">
        <v>3</v>
      </c>
      <c r="E304" t="s">
        <v>293</v>
      </c>
      <c r="F304" t="s">
        <v>294</v>
      </c>
      <c r="G304" t="s">
        <v>7</v>
      </c>
      <c r="H304" t="s">
        <v>92</v>
      </c>
      <c r="J304">
        <v>51.377791610000003</v>
      </c>
      <c r="K304">
        <v>7.4708468669999997</v>
      </c>
      <c r="L304" t="s">
        <v>4</v>
      </c>
      <c r="M304">
        <v>0</v>
      </c>
      <c r="N304">
        <v>3.069946E-3</v>
      </c>
      <c r="O304">
        <v>1.7883133999999998E-2</v>
      </c>
      <c r="P304">
        <v>4.3815490999999998E-2</v>
      </c>
      <c r="Q304">
        <v>6.4906765000000005E-2</v>
      </c>
      <c r="R304">
        <v>9.0174394000000005E-2</v>
      </c>
      <c r="S304">
        <v>9.0174394000000005E-2</v>
      </c>
    </row>
    <row r="305" spans="1:19" x14ac:dyDescent="0.25">
      <c r="A305" t="s">
        <v>2</v>
      </c>
      <c r="B305" t="s">
        <v>88</v>
      </c>
      <c r="C305" t="s">
        <v>89</v>
      </c>
      <c r="D305" t="s">
        <v>3</v>
      </c>
      <c r="E305" t="s">
        <v>295</v>
      </c>
      <c r="F305" t="s">
        <v>296</v>
      </c>
      <c r="G305" t="s">
        <v>7</v>
      </c>
      <c r="H305" t="s">
        <v>92</v>
      </c>
      <c r="J305">
        <v>51.378956539999997</v>
      </c>
      <c r="K305">
        <v>6.6352114750000002</v>
      </c>
      <c r="L305" t="s">
        <v>4</v>
      </c>
      <c r="M305">
        <v>0</v>
      </c>
      <c r="N305">
        <v>3.7308369999999999E-3</v>
      </c>
      <c r="O305">
        <v>2.1732976000000001E-2</v>
      </c>
      <c r="P305">
        <v>5.3247993E-2</v>
      </c>
      <c r="Q305">
        <v>7.8879748999999999E-2</v>
      </c>
      <c r="R305">
        <v>0.109586937</v>
      </c>
      <c r="S305">
        <v>0.109586937</v>
      </c>
    </row>
    <row r="306" spans="1:19" x14ac:dyDescent="0.25">
      <c r="A306" t="s">
        <v>2</v>
      </c>
      <c r="B306" t="s">
        <v>88</v>
      </c>
      <c r="C306" t="s">
        <v>89</v>
      </c>
      <c r="D306" t="s">
        <v>3</v>
      </c>
      <c r="E306" t="s">
        <v>297</v>
      </c>
      <c r="F306" t="s">
        <v>298</v>
      </c>
      <c r="G306" t="s">
        <v>7</v>
      </c>
      <c r="H306" t="s">
        <v>92</v>
      </c>
      <c r="J306">
        <v>51.680548989999998</v>
      </c>
      <c r="K306">
        <v>7.7440984549999996</v>
      </c>
      <c r="L306" t="s">
        <v>4</v>
      </c>
      <c r="M306">
        <v>0</v>
      </c>
      <c r="N306">
        <v>6.2891249999999996E-3</v>
      </c>
      <c r="O306">
        <v>3.6635587999999997E-2</v>
      </c>
      <c r="P306">
        <v>8.9760903000000003E-2</v>
      </c>
      <c r="Q306">
        <v>0.13296871900000001</v>
      </c>
      <c r="R306">
        <v>0.18473226500000001</v>
      </c>
      <c r="S306">
        <v>0.18473226500000001</v>
      </c>
    </row>
    <row r="307" spans="1:19" x14ac:dyDescent="0.25">
      <c r="A307" t="s">
        <v>2</v>
      </c>
      <c r="B307" t="s">
        <v>88</v>
      </c>
      <c r="C307" t="s">
        <v>89</v>
      </c>
      <c r="D307" t="s">
        <v>3</v>
      </c>
      <c r="E307" t="s">
        <v>299</v>
      </c>
      <c r="F307" t="s">
        <v>300</v>
      </c>
      <c r="G307" t="s">
        <v>7</v>
      </c>
      <c r="H307" t="s">
        <v>92</v>
      </c>
      <c r="J307">
        <v>51.556850369999999</v>
      </c>
      <c r="K307">
        <v>7.1675268279999997</v>
      </c>
      <c r="L307" t="s">
        <v>4</v>
      </c>
      <c r="M307">
        <v>0</v>
      </c>
      <c r="N307">
        <v>1.2791441000000001E-2</v>
      </c>
      <c r="O307">
        <v>7.4513060000000006E-2</v>
      </c>
      <c r="P307">
        <v>0.18256454799999999</v>
      </c>
      <c r="Q307">
        <v>0.27044485299999999</v>
      </c>
      <c r="R307">
        <v>0.37572664</v>
      </c>
      <c r="S307">
        <v>0.37572664</v>
      </c>
    </row>
    <row r="308" spans="1:19" x14ac:dyDescent="0.25">
      <c r="A308" t="s">
        <v>2</v>
      </c>
      <c r="B308" t="s">
        <v>88</v>
      </c>
      <c r="C308" t="s">
        <v>89</v>
      </c>
      <c r="D308" t="s">
        <v>3</v>
      </c>
      <c r="E308" t="s">
        <v>301</v>
      </c>
      <c r="F308" t="s">
        <v>302</v>
      </c>
      <c r="G308" t="s">
        <v>7</v>
      </c>
      <c r="H308" t="s">
        <v>92</v>
      </c>
      <c r="J308">
        <v>51.51560233</v>
      </c>
      <c r="K308">
        <v>6.9939033989999997</v>
      </c>
      <c r="L308" t="s">
        <v>4</v>
      </c>
      <c r="M308">
        <v>0</v>
      </c>
      <c r="N308">
        <v>1.5882706999999999E-2</v>
      </c>
      <c r="O308">
        <v>9.2520382999999998E-2</v>
      </c>
      <c r="P308">
        <v>0.226684314</v>
      </c>
      <c r="Q308">
        <v>0.33580235899999999</v>
      </c>
      <c r="R308">
        <v>0.46652724499999998</v>
      </c>
      <c r="S308">
        <v>0.46652724499999998</v>
      </c>
    </row>
    <row r="309" spans="1:19" x14ac:dyDescent="0.25">
      <c r="A309" t="s">
        <v>2</v>
      </c>
      <c r="B309" t="s">
        <v>88</v>
      </c>
      <c r="C309" t="s">
        <v>89</v>
      </c>
      <c r="D309" t="s">
        <v>3</v>
      </c>
      <c r="E309" t="s">
        <v>303</v>
      </c>
      <c r="F309" t="s">
        <v>304</v>
      </c>
      <c r="G309" t="s">
        <v>7</v>
      </c>
      <c r="H309" t="s">
        <v>92</v>
      </c>
      <c r="J309">
        <v>51.485149309999997</v>
      </c>
      <c r="K309">
        <v>6.8342344500000003</v>
      </c>
      <c r="L309" t="s">
        <v>4</v>
      </c>
      <c r="M309">
        <v>0</v>
      </c>
      <c r="N309">
        <v>1.4923347999999999E-2</v>
      </c>
      <c r="O309">
        <v>8.6931904000000004E-2</v>
      </c>
      <c r="P309">
        <v>0.212991972</v>
      </c>
      <c r="Q309">
        <v>0.31551899500000002</v>
      </c>
      <c r="R309">
        <v>0.43834774700000001</v>
      </c>
      <c r="S309">
        <v>0.43834774700000001</v>
      </c>
    </row>
    <row r="310" spans="1:19" x14ac:dyDescent="0.25">
      <c r="A310" t="s">
        <v>2</v>
      </c>
      <c r="B310" t="s">
        <v>88</v>
      </c>
      <c r="C310" t="s">
        <v>89</v>
      </c>
      <c r="D310" t="s">
        <v>3</v>
      </c>
      <c r="E310" t="s">
        <v>305</v>
      </c>
      <c r="F310" t="s">
        <v>306</v>
      </c>
      <c r="G310" t="s">
        <v>7</v>
      </c>
      <c r="H310" t="s">
        <v>92</v>
      </c>
      <c r="J310">
        <v>51.52172161</v>
      </c>
      <c r="K310">
        <v>6.5743393960000001</v>
      </c>
      <c r="L310" t="s">
        <v>4</v>
      </c>
      <c r="M310">
        <v>0</v>
      </c>
      <c r="N310">
        <v>5.7561490000000003E-3</v>
      </c>
      <c r="O310">
        <v>3.3530877000000001E-2</v>
      </c>
      <c r="P310">
        <v>8.2154046999999994E-2</v>
      </c>
      <c r="Q310">
        <v>0.121700184</v>
      </c>
      <c r="R310">
        <v>0.16907698800000001</v>
      </c>
      <c r="S310">
        <v>0.16907698800000001</v>
      </c>
    </row>
    <row r="311" spans="1:19" x14ac:dyDescent="0.25">
      <c r="A311" t="s">
        <v>2</v>
      </c>
      <c r="B311" t="s">
        <v>88</v>
      </c>
      <c r="C311" t="s">
        <v>89</v>
      </c>
      <c r="D311" t="s">
        <v>3</v>
      </c>
      <c r="E311" t="s">
        <v>307</v>
      </c>
      <c r="F311" t="s">
        <v>308</v>
      </c>
      <c r="G311" t="s">
        <v>7</v>
      </c>
      <c r="H311" t="s">
        <v>92</v>
      </c>
      <c r="J311">
        <v>52.042676559999997</v>
      </c>
      <c r="K311">
        <v>8.607725426</v>
      </c>
      <c r="L311" t="s">
        <v>4</v>
      </c>
      <c r="M311">
        <v>0</v>
      </c>
      <c r="N311">
        <v>8.5276280000000006E-3</v>
      </c>
      <c r="O311">
        <v>4.9675373000000002E-2</v>
      </c>
      <c r="P311">
        <v>0.121709699</v>
      </c>
      <c r="Q311">
        <v>0.18029656899999999</v>
      </c>
      <c r="R311">
        <v>0.25048442700000001</v>
      </c>
      <c r="S311">
        <v>0.25048442700000001</v>
      </c>
    </row>
    <row r="312" spans="1:19" x14ac:dyDescent="0.25">
      <c r="A312" t="s">
        <v>2</v>
      </c>
      <c r="B312" t="s">
        <v>88</v>
      </c>
      <c r="C312" t="s">
        <v>89</v>
      </c>
      <c r="D312" t="s">
        <v>3</v>
      </c>
      <c r="E312" t="s">
        <v>309</v>
      </c>
      <c r="F312" t="s">
        <v>310</v>
      </c>
      <c r="G312" t="s">
        <v>7</v>
      </c>
      <c r="H312" t="s">
        <v>92</v>
      </c>
      <c r="J312">
        <v>52.300836689999997</v>
      </c>
      <c r="K312">
        <v>8.9493251590000007</v>
      </c>
      <c r="L312" t="s">
        <v>4</v>
      </c>
      <c r="M312">
        <v>0</v>
      </c>
      <c r="N312">
        <v>8.5276280000000006E-3</v>
      </c>
      <c r="O312">
        <v>4.9675373000000002E-2</v>
      </c>
      <c r="P312">
        <v>0.121709699</v>
      </c>
      <c r="Q312">
        <v>0.18029656899999999</v>
      </c>
      <c r="R312">
        <v>0.25048442700000001</v>
      </c>
      <c r="S312">
        <v>0.25048442700000001</v>
      </c>
    </row>
    <row r="313" spans="1:19" x14ac:dyDescent="0.25">
      <c r="A313" t="s">
        <v>2</v>
      </c>
      <c r="B313" t="s">
        <v>88</v>
      </c>
      <c r="C313" t="s">
        <v>89</v>
      </c>
      <c r="D313" t="s">
        <v>3</v>
      </c>
      <c r="E313" t="s">
        <v>170</v>
      </c>
      <c r="F313" t="s">
        <v>171</v>
      </c>
      <c r="G313" t="s">
        <v>7</v>
      </c>
      <c r="H313" t="s">
        <v>92</v>
      </c>
      <c r="J313">
        <v>52.098190780000003</v>
      </c>
      <c r="K313">
        <v>9.3862909299999995</v>
      </c>
      <c r="L313" t="s">
        <v>4</v>
      </c>
      <c r="M313">
        <v>0</v>
      </c>
      <c r="N313">
        <v>7.4616739999999997E-3</v>
      </c>
      <c r="O313">
        <v>4.3465952000000002E-2</v>
      </c>
      <c r="P313">
        <v>0.106495986</v>
      </c>
      <c r="Q313">
        <v>0.157759498</v>
      </c>
      <c r="R313">
        <v>0.21917387299999999</v>
      </c>
      <c r="S313">
        <v>0.21917387299999999</v>
      </c>
    </row>
    <row r="314" spans="1:19" x14ac:dyDescent="0.25">
      <c r="A314" t="s">
        <v>2</v>
      </c>
      <c r="B314" t="s">
        <v>88</v>
      </c>
      <c r="C314" t="s">
        <v>89</v>
      </c>
      <c r="D314" t="s">
        <v>3</v>
      </c>
      <c r="E314" t="s">
        <v>103</v>
      </c>
      <c r="F314" t="s">
        <v>104</v>
      </c>
      <c r="G314" t="s">
        <v>7</v>
      </c>
      <c r="H314" t="s">
        <v>92</v>
      </c>
      <c r="J314">
        <v>52.411837230000003</v>
      </c>
      <c r="K314">
        <v>9.8534918190000003</v>
      </c>
      <c r="L314" t="s">
        <v>4</v>
      </c>
      <c r="M314">
        <v>0</v>
      </c>
      <c r="N314">
        <v>6.395721E-3</v>
      </c>
      <c r="O314">
        <v>3.7256530000000003E-2</v>
      </c>
      <c r="P314">
        <v>9.1282273999999997E-2</v>
      </c>
      <c r="Q314">
        <v>0.13522242700000001</v>
      </c>
      <c r="R314">
        <v>0.18786332</v>
      </c>
      <c r="S314">
        <v>0.18786332</v>
      </c>
    </row>
    <row r="315" spans="1:19" x14ac:dyDescent="0.25">
      <c r="A315" t="s">
        <v>2</v>
      </c>
      <c r="B315" t="s">
        <v>88</v>
      </c>
      <c r="C315" t="s">
        <v>89</v>
      </c>
      <c r="D315" t="s">
        <v>3</v>
      </c>
      <c r="E315" t="s">
        <v>311</v>
      </c>
      <c r="F315" t="s">
        <v>312</v>
      </c>
      <c r="G315" t="s">
        <v>7</v>
      </c>
      <c r="H315" t="s">
        <v>92</v>
      </c>
      <c r="J315">
        <v>52.223607170000001</v>
      </c>
      <c r="K315">
        <v>11.00983684</v>
      </c>
      <c r="L315" t="s">
        <v>4</v>
      </c>
      <c r="M315">
        <v>0</v>
      </c>
      <c r="N315">
        <v>1.1192511E-2</v>
      </c>
      <c r="O315">
        <v>6.5198928000000003E-2</v>
      </c>
      <c r="P315">
        <v>0.15974397900000001</v>
      </c>
      <c r="Q315">
        <v>0.236639246</v>
      </c>
      <c r="R315">
        <v>0.32876081000000001</v>
      </c>
      <c r="S315">
        <v>0.32876081000000001</v>
      </c>
    </row>
    <row r="316" spans="1:19" x14ac:dyDescent="0.25">
      <c r="A316" t="s">
        <v>2</v>
      </c>
      <c r="B316" t="s">
        <v>88</v>
      </c>
      <c r="C316" t="s">
        <v>89</v>
      </c>
      <c r="D316" t="s">
        <v>3</v>
      </c>
      <c r="E316" t="s">
        <v>313</v>
      </c>
      <c r="F316" t="s">
        <v>314</v>
      </c>
      <c r="G316" t="s">
        <v>7</v>
      </c>
      <c r="H316" t="s">
        <v>92</v>
      </c>
      <c r="J316">
        <v>51.315518419999997</v>
      </c>
      <c r="K316">
        <v>9.5285438229999997</v>
      </c>
      <c r="L316" t="s">
        <v>4</v>
      </c>
      <c r="M316">
        <v>0</v>
      </c>
      <c r="N316">
        <v>5.4576820000000002E-3</v>
      </c>
      <c r="O316">
        <v>3.1792239E-2</v>
      </c>
      <c r="P316">
        <v>7.7894206999999993E-2</v>
      </c>
      <c r="Q316">
        <v>0.115389804</v>
      </c>
      <c r="R316">
        <v>0.16031003299999999</v>
      </c>
      <c r="S316">
        <v>0.16031003299999999</v>
      </c>
    </row>
    <row r="317" spans="1:19" x14ac:dyDescent="0.25">
      <c r="A317" t="s">
        <v>2</v>
      </c>
      <c r="B317" t="s">
        <v>88</v>
      </c>
      <c r="C317" t="s">
        <v>89</v>
      </c>
      <c r="D317" t="s">
        <v>3</v>
      </c>
      <c r="E317" t="s">
        <v>184</v>
      </c>
      <c r="F317" t="s">
        <v>315</v>
      </c>
      <c r="G317" t="s">
        <v>7</v>
      </c>
      <c r="H317" t="s">
        <v>92</v>
      </c>
      <c r="J317">
        <v>51.318295470000002</v>
      </c>
      <c r="K317">
        <v>9.8488889969999995</v>
      </c>
      <c r="L317" t="s">
        <v>4</v>
      </c>
      <c r="M317">
        <v>0</v>
      </c>
      <c r="N317">
        <v>7.0352929999999998E-3</v>
      </c>
      <c r="O317">
        <v>4.0982182999999998E-2</v>
      </c>
      <c r="P317">
        <v>0.100410501</v>
      </c>
      <c r="Q317">
        <v>0.148744669</v>
      </c>
      <c r="R317">
        <v>0.20664965199999999</v>
      </c>
      <c r="S317">
        <v>0.20664965199999999</v>
      </c>
    </row>
    <row r="318" spans="1:19" x14ac:dyDescent="0.25">
      <c r="A318" t="s">
        <v>2</v>
      </c>
      <c r="B318" t="s">
        <v>88</v>
      </c>
      <c r="C318" t="s">
        <v>89</v>
      </c>
      <c r="D318" t="s">
        <v>3</v>
      </c>
      <c r="E318" t="s">
        <v>316</v>
      </c>
      <c r="F318" t="s">
        <v>317</v>
      </c>
      <c r="G318" t="s">
        <v>7</v>
      </c>
      <c r="H318" t="s">
        <v>92</v>
      </c>
      <c r="J318">
        <v>52.185109670000003</v>
      </c>
      <c r="K318">
        <v>11.677096819999999</v>
      </c>
      <c r="L318" t="s">
        <v>4</v>
      </c>
      <c r="M318">
        <v>0</v>
      </c>
      <c r="N318">
        <v>1.3857395E-2</v>
      </c>
      <c r="O318">
        <v>8.0722481999999998E-2</v>
      </c>
      <c r="P318">
        <v>0.19777826000000001</v>
      </c>
      <c r="Q318">
        <v>0.292981924</v>
      </c>
      <c r="R318">
        <v>0.40703719300000002</v>
      </c>
      <c r="S318">
        <v>0.40703719300000002</v>
      </c>
    </row>
    <row r="319" spans="1:19" x14ac:dyDescent="0.25">
      <c r="A319" t="s">
        <v>2</v>
      </c>
      <c r="B319" t="s">
        <v>88</v>
      </c>
      <c r="C319" t="s">
        <v>89</v>
      </c>
      <c r="D319" t="s">
        <v>3</v>
      </c>
      <c r="E319" t="s">
        <v>133</v>
      </c>
      <c r="F319" t="s">
        <v>134</v>
      </c>
      <c r="G319" t="s">
        <v>7</v>
      </c>
      <c r="H319" t="s">
        <v>92</v>
      </c>
      <c r="J319">
        <v>51.866047850000001</v>
      </c>
      <c r="K319">
        <v>11.57611764</v>
      </c>
      <c r="L319" t="s">
        <v>4</v>
      </c>
      <c r="M319">
        <v>0</v>
      </c>
      <c r="N319">
        <v>8.1012459999999994E-3</v>
      </c>
      <c r="O319">
        <v>4.7191604999999998E-2</v>
      </c>
      <c r="P319">
        <v>0.115624214</v>
      </c>
      <c r="Q319">
        <v>0.17128173999999999</v>
      </c>
      <c r="R319">
        <v>0.23796020500000001</v>
      </c>
      <c r="S319">
        <v>0.23796020500000001</v>
      </c>
    </row>
    <row r="320" spans="1:19" x14ac:dyDescent="0.25">
      <c r="A320" t="s">
        <v>2</v>
      </c>
      <c r="B320" t="s">
        <v>88</v>
      </c>
      <c r="C320" t="s">
        <v>89</v>
      </c>
      <c r="D320" t="s">
        <v>3</v>
      </c>
      <c r="E320" t="s">
        <v>133</v>
      </c>
      <c r="F320" t="s">
        <v>134</v>
      </c>
      <c r="G320" t="s">
        <v>7</v>
      </c>
      <c r="H320" t="s">
        <v>92</v>
      </c>
      <c r="J320">
        <v>51.801934289999998</v>
      </c>
      <c r="K320">
        <v>11.7580533</v>
      </c>
      <c r="L320" t="s">
        <v>4</v>
      </c>
      <c r="M320">
        <v>0</v>
      </c>
      <c r="N320">
        <v>1.0233153E-2</v>
      </c>
      <c r="O320">
        <v>5.9610448000000003E-2</v>
      </c>
      <c r="P320">
        <v>0.14605163800000001</v>
      </c>
      <c r="Q320">
        <v>0.216355882</v>
      </c>
      <c r="R320">
        <v>0.30058131199999999</v>
      </c>
      <c r="S320">
        <v>0.30058131199999999</v>
      </c>
    </row>
    <row r="321" spans="1:19" x14ac:dyDescent="0.25">
      <c r="A321" t="s">
        <v>2</v>
      </c>
      <c r="B321" t="s">
        <v>88</v>
      </c>
      <c r="C321" t="s">
        <v>89</v>
      </c>
      <c r="D321" t="s">
        <v>3</v>
      </c>
      <c r="E321" t="s">
        <v>318</v>
      </c>
      <c r="F321" t="s">
        <v>319</v>
      </c>
      <c r="G321" t="s">
        <v>7</v>
      </c>
      <c r="H321" t="s">
        <v>92</v>
      </c>
      <c r="J321">
        <v>51.461989629999998</v>
      </c>
      <c r="K321">
        <v>11.7182531</v>
      </c>
      <c r="L321" t="s">
        <v>4</v>
      </c>
      <c r="M321">
        <v>0</v>
      </c>
      <c r="N321">
        <v>2.5582880000000001E-3</v>
      </c>
      <c r="O321">
        <v>1.4902612000000001E-2</v>
      </c>
      <c r="P321">
        <v>3.6512910000000003E-2</v>
      </c>
      <c r="Q321">
        <v>5.4088971E-2</v>
      </c>
      <c r="R321">
        <v>7.5145327999999997E-2</v>
      </c>
      <c r="S321">
        <v>7.5145327999999997E-2</v>
      </c>
    </row>
    <row r="322" spans="1:19" x14ac:dyDescent="0.25">
      <c r="A322" t="s">
        <v>2</v>
      </c>
      <c r="B322" t="s">
        <v>88</v>
      </c>
      <c r="C322" t="s">
        <v>89</v>
      </c>
      <c r="D322" t="s">
        <v>3</v>
      </c>
      <c r="E322" t="s">
        <v>320</v>
      </c>
      <c r="F322" t="s">
        <v>321</v>
      </c>
      <c r="G322" t="s">
        <v>7</v>
      </c>
      <c r="H322" t="s">
        <v>92</v>
      </c>
      <c r="J322">
        <v>51.629952979999999</v>
      </c>
      <c r="K322">
        <v>12.288818210000001</v>
      </c>
      <c r="L322" t="s">
        <v>4</v>
      </c>
      <c r="M322">
        <v>0</v>
      </c>
      <c r="N322">
        <v>2.7714789999999999E-3</v>
      </c>
      <c r="O322">
        <v>1.6144496000000001E-2</v>
      </c>
      <c r="P322">
        <v>3.9555651999999997E-2</v>
      </c>
      <c r="Q322">
        <v>5.8596385000000001E-2</v>
      </c>
      <c r="R322">
        <v>8.1407438999999998E-2</v>
      </c>
      <c r="S322">
        <v>8.1407438999999998E-2</v>
      </c>
    </row>
    <row r="323" spans="1:19" x14ac:dyDescent="0.25">
      <c r="A323" t="s">
        <v>2</v>
      </c>
      <c r="B323" t="s">
        <v>88</v>
      </c>
      <c r="C323" t="s">
        <v>89</v>
      </c>
      <c r="D323" t="s">
        <v>3</v>
      </c>
      <c r="E323" t="s">
        <v>320</v>
      </c>
      <c r="F323" t="s">
        <v>321</v>
      </c>
      <c r="G323" t="s">
        <v>7</v>
      </c>
      <c r="H323" t="s">
        <v>92</v>
      </c>
      <c r="J323">
        <v>51.636746700000003</v>
      </c>
      <c r="K323">
        <v>12.227384430000001</v>
      </c>
      <c r="L323" t="s">
        <v>4</v>
      </c>
      <c r="M323">
        <v>0</v>
      </c>
      <c r="N323">
        <v>6.3976179999999999E-3</v>
      </c>
      <c r="O323">
        <v>3.7267583999999999E-2</v>
      </c>
      <c r="P323">
        <v>9.1309357999999993E-2</v>
      </c>
      <c r="Q323">
        <v>0.13526254700000001</v>
      </c>
      <c r="R323">
        <v>0.18791906</v>
      </c>
      <c r="S323">
        <v>0.18791906</v>
      </c>
    </row>
    <row r="324" spans="1:19" x14ac:dyDescent="0.25">
      <c r="A324" t="s">
        <v>2</v>
      </c>
      <c r="B324" t="s">
        <v>88</v>
      </c>
      <c r="C324" t="s">
        <v>89</v>
      </c>
      <c r="D324" t="s">
        <v>3</v>
      </c>
      <c r="E324" t="s">
        <v>322</v>
      </c>
      <c r="F324" t="s">
        <v>323</v>
      </c>
      <c r="G324" t="s">
        <v>7</v>
      </c>
      <c r="H324" t="s">
        <v>92</v>
      </c>
      <c r="J324">
        <v>51.325433420000003</v>
      </c>
      <c r="K324">
        <v>11.99531919</v>
      </c>
      <c r="L324" t="s">
        <v>4</v>
      </c>
      <c r="M324">
        <v>0</v>
      </c>
      <c r="N324">
        <v>8.1012459999999994E-3</v>
      </c>
      <c r="O324">
        <v>4.7191604999999998E-2</v>
      </c>
      <c r="P324">
        <v>0.115624214</v>
      </c>
      <c r="Q324">
        <v>0.17128173999999999</v>
      </c>
      <c r="R324">
        <v>0.23796020500000001</v>
      </c>
      <c r="S324">
        <v>0.23796020500000001</v>
      </c>
    </row>
    <row r="325" spans="1:19" x14ac:dyDescent="0.25">
      <c r="A325" t="s">
        <v>2</v>
      </c>
      <c r="B325" t="s">
        <v>88</v>
      </c>
      <c r="C325" t="s">
        <v>89</v>
      </c>
      <c r="D325" t="s">
        <v>3</v>
      </c>
      <c r="E325" t="s">
        <v>135</v>
      </c>
      <c r="F325" t="s">
        <v>136</v>
      </c>
      <c r="G325" t="s">
        <v>7</v>
      </c>
      <c r="H325" t="s">
        <v>92</v>
      </c>
      <c r="J325">
        <v>51.181517220000003</v>
      </c>
      <c r="K325">
        <v>12.01915262</v>
      </c>
      <c r="L325" t="s">
        <v>4</v>
      </c>
      <c r="M325">
        <v>0</v>
      </c>
      <c r="N325">
        <v>7.2058449999999998E-3</v>
      </c>
      <c r="O325">
        <v>4.1975691000000002E-2</v>
      </c>
      <c r="P325">
        <v>0.102844695</v>
      </c>
      <c r="Q325">
        <v>0.152350601</v>
      </c>
      <c r="R325">
        <v>0.21165934</v>
      </c>
      <c r="S325">
        <v>0.21165934</v>
      </c>
    </row>
    <row r="326" spans="1:19" x14ac:dyDescent="0.25">
      <c r="A326" t="s">
        <v>2</v>
      </c>
      <c r="B326" t="s">
        <v>88</v>
      </c>
      <c r="C326" t="s">
        <v>89</v>
      </c>
      <c r="D326" t="s">
        <v>3</v>
      </c>
      <c r="E326" t="s">
        <v>324</v>
      </c>
      <c r="F326" t="s">
        <v>325</v>
      </c>
      <c r="G326" t="s">
        <v>7</v>
      </c>
      <c r="H326" t="s">
        <v>92</v>
      </c>
      <c r="J326">
        <v>52.527303930000002</v>
      </c>
      <c r="K326">
        <v>12.35972664</v>
      </c>
      <c r="L326" t="s">
        <v>4</v>
      </c>
      <c r="M326">
        <v>0</v>
      </c>
      <c r="N326">
        <v>6.8434209999999997E-3</v>
      </c>
      <c r="O326">
        <v>3.9864486999999997E-2</v>
      </c>
      <c r="P326">
        <v>9.7672033000000005E-2</v>
      </c>
      <c r="Q326">
        <v>0.14468799600000001</v>
      </c>
      <c r="R326">
        <v>0.20101375199999999</v>
      </c>
      <c r="S326">
        <v>0.20101375199999999</v>
      </c>
    </row>
    <row r="327" spans="1:19" x14ac:dyDescent="0.25">
      <c r="A327" t="s">
        <v>2</v>
      </c>
      <c r="B327" t="s">
        <v>88</v>
      </c>
      <c r="C327" t="s">
        <v>89</v>
      </c>
      <c r="D327" t="s">
        <v>3</v>
      </c>
      <c r="E327" t="s">
        <v>326</v>
      </c>
      <c r="F327" t="s">
        <v>327</v>
      </c>
      <c r="G327" t="s">
        <v>7</v>
      </c>
      <c r="H327" t="s">
        <v>92</v>
      </c>
      <c r="J327">
        <v>52.530336679999998</v>
      </c>
      <c r="K327">
        <v>13.23929775</v>
      </c>
      <c r="L327" t="s">
        <v>4</v>
      </c>
      <c r="M327">
        <v>0</v>
      </c>
      <c r="N327">
        <v>1.1459810000000001E-2</v>
      </c>
      <c r="O327">
        <v>6.6756001999999995E-2</v>
      </c>
      <c r="P327">
        <v>0.16355897</v>
      </c>
      <c r="Q327">
        <v>0.242290642</v>
      </c>
      <c r="R327">
        <v>0.336612244</v>
      </c>
      <c r="S327">
        <v>0.336612244</v>
      </c>
    </row>
    <row r="328" spans="1:19" x14ac:dyDescent="0.25">
      <c r="A328" t="s">
        <v>2</v>
      </c>
      <c r="B328" t="s">
        <v>88</v>
      </c>
      <c r="C328" t="s">
        <v>89</v>
      </c>
      <c r="D328" t="s">
        <v>3</v>
      </c>
      <c r="E328" t="s">
        <v>131</v>
      </c>
      <c r="F328" t="s">
        <v>328</v>
      </c>
      <c r="G328" t="s">
        <v>7</v>
      </c>
      <c r="H328" t="s">
        <v>92</v>
      </c>
      <c r="J328">
        <v>52.490157070000002</v>
      </c>
      <c r="K328">
        <v>13.830480590000001</v>
      </c>
      <c r="L328" t="s">
        <v>4</v>
      </c>
      <c r="M328">
        <v>0</v>
      </c>
      <c r="N328">
        <v>5.2231719999999999E-3</v>
      </c>
      <c r="O328">
        <v>3.0426166000000001E-2</v>
      </c>
      <c r="P328">
        <v>7.4547189999999999E-2</v>
      </c>
      <c r="Q328">
        <v>0.11043164799999999</v>
      </c>
      <c r="R328">
        <v>0.15342171099999999</v>
      </c>
      <c r="S328">
        <v>0.15342171099999999</v>
      </c>
    </row>
    <row r="329" spans="1:19" x14ac:dyDescent="0.25">
      <c r="A329" t="s">
        <v>2</v>
      </c>
      <c r="B329" t="s">
        <v>88</v>
      </c>
      <c r="C329" t="s">
        <v>89</v>
      </c>
      <c r="D329" t="s">
        <v>3</v>
      </c>
      <c r="E329" t="s">
        <v>196</v>
      </c>
      <c r="F329" t="s">
        <v>197</v>
      </c>
      <c r="G329" t="s">
        <v>7</v>
      </c>
      <c r="H329" t="s">
        <v>92</v>
      </c>
      <c r="J329">
        <v>52.173520459999999</v>
      </c>
      <c r="K329">
        <v>14.640119070000001</v>
      </c>
      <c r="L329" t="s">
        <v>4</v>
      </c>
      <c r="M329">
        <v>0</v>
      </c>
      <c r="N329">
        <v>1.1213829999999999E-2</v>
      </c>
      <c r="O329">
        <v>6.5323116000000001E-2</v>
      </c>
      <c r="P329">
        <v>0.160048254</v>
      </c>
      <c r="Q329">
        <v>0.237089988</v>
      </c>
      <c r="R329">
        <v>0.329387021</v>
      </c>
      <c r="S329">
        <v>0.329387021</v>
      </c>
    </row>
    <row r="330" spans="1:19" x14ac:dyDescent="0.25">
      <c r="A330" t="s">
        <v>2</v>
      </c>
      <c r="B330" t="s">
        <v>88</v>
      </c>
      <c r="C330" t="s">
        <v>89</v>
      </c>
      <c r="D330" t="s">
        <v>3</v>
      </c>
      <c r="E330" t="s">
        <v>329</v>
      </c>
      <c r="F330" t="s">
        <v>330</v>
      </c>
      <c r="G330" t="s">
        <v>7</v>
      </c>
      <c r="H330" t="s">
        <v>92</v>
      </c>
      <c r="J330">
        <v>51.58175336</v>
      </c>
      <c r="K330">
        <v>13.977769090000001</v>
      </c>
      <c r="L330" t="s">
        <v>4</v>
      </c>
      <c r="M330">
        <v>0</v>
      </c>
      <c r="N330">
        <v>6.2358279999999997E-3</v>
      </c>
      <c r="O330">
        <v>3.6325116999999997E-2</v>
      </c>
      <c r="P330">
        <v>8.9000217000000006E-2</v>
      </c>
      <c r="Q330">
        <v>0.131841866</v>
      </c>
      <c r="R330">
        <v>0.183166737</v>
      </c>
      <c r="S330">
        <v>0.183166737</v>
      </c>
    </row>
    <row r="331" spans="1:19" x14ac:dyDescent="0.25">
      <c r="A331" t="s">
        <v>2</v>
      </c>
      <c r="B331" t="s">
        <v>88</v>
      </c>
      <c r="C331" t="s">
        <v>89</v>
      </c>
      <c r="D331" t="s">
        <v>3</v>
      </c>
      <c r="E331" t="s">
        <v>331</v>
      </c>
      <c r="F331" t="s">
        <v>332</v>
      </c>
      <c r="G331" t="s">
        <v>7</v>
      </c>
      <c r="H331" t="s">
        <v>92</v>
      </c>
      <c r="J331">
        <v>51.528581410000001</v>
      </c>
      <c r="K331">
        <v>14.365483770000001</v>
      </c>
      <c r="L331" t="s">
        <v>4</v>
      </c>
      <c r="M331">
        <v>0</v>
      </c>
      <c r="N331">
        <v>7.4702019999999996E-3</v>
      </c>
      <c r="O331">
        <v>4.3515627000000001E-2</v>
      </c>
      <c r="P331">
        <v>0.106617696</v>
      </c>
      <c r="Q331">
        <v>0.15793979399999999</v>
      </c>
      <c r="R331">
        <v>0.21942435800000001</v>
      </c>
      <c r="S331">
        <v>0.21942435800000001</v>
      </c>
    </row>
    <row r="332" spans="1:19" x14ac:dyDescent="0.25">
      <c r="A332" t="s">
        <v>2</v>
      </c>
      <c r="B332" t="s">
        <v>88</v>
      </c>
      <c r="C332" t="s">
        <v>89</v>
      </c>
      <c r="D332" t="s">
        <v>3</v>
      </c>
      <c r="E332" t="s">
        <v>333</v>
      </c>
      <c r="F332" t="s">
        <v>334</v>
      </c>
      <c r="G332" t="s">
        <v>7</v>
      </c>
      <c r="H332" t="s">
        <v>92</v>
      </c>
      <c r="J332">
        <v>51.450966469999997</v>
      </c>
      <c r="K332">
        <v>14.11152613</v>
      </c>
      <c r="L332" t="s">
        <v>4</v>
      </c>
      <c r="M332">
        <v>0</v>
      </c>
      <c r="N332">
        <v>4.7967909999999999E-3</v>
      </c>
      <c r="O332">
        <v>2.7942398E-2</v>
      </c>
      <c r="P332">
        <v>6.8461704999999998E-2</v>
      </c>
      <c r="Q332">
        <v>0.10141682</v>
      </c>
      <c r="R332">
        <v>0.14089748999999999</v>
      </c>
      <c r="S332">
        <v>0.14089748999999999</v>
      </c>
    </row>
    <row r="333" spans="1:19" x14ac:dyDescent="0.25">
      <c r="A333" t="s">
        <v>2</v>
      </c>
      <c r="B333" t="s">
        <v>88</v>
      </c>
      <c r="C333" t="s">
        <v>89</v>
      </c>
      <c r="D333" t="s">
        <v>3</v>
      </c>
      <c r="E333" t="s">
        <v>335</v>
      </c>
      <c r="F333" t="s">
        <v>336</v>
      </c>
      <c r="G333" t="s">
        <v>7</v>
      </c>
      <c r="H333" t="s">
        <v>92</v>
      </c>
      <c r="J333">
        <v>53.082755249999998</v>
      </c>
      <c r="K333">
        <v>14.322349559999999</v>
      </c>
      <c r="L333" t="s">
        <v>4</v>
      </c>
      <c r="M333">
        <v>0</v>
      </c>
      <c r="N333">
        <v>9.4267810000000004E-3</v>
      </c>
      <c r="O333">
        <v>5.4913144999999997E-2</v>
      </c>
      <c r="P333">
        <v>0.13454276900000001</v>
      </c>
      <c r="Q333">
        <v>0.19930703899999999</v>
      </c>
      <c r="R333">
        <v>0.27689550499999999</v>
      </c>
      <c r="S333">
        <v>0.27689550499999999</v>
      </c>
    </row>
    <row r="334" spans="1:19" x14ac:dyDescent="0.25">
      <c r="A334" t="s">
        <v>2</v>
      </c>
      <c r="B334" t="s">
        <v>88</v>
      </c>
      <c r="C334" t="s">
        <v>89</v>
      </c>
      <c r="D334" t="s">
        <v>3</v>
      </c>
      <c r="E334" t="s">
        <v>337</v>
      </c>
      <c r="F334" t="s">
        <v>338</v>
      </c>
      <c r="G334" t="s">
        <v>7</v>
      </c>
      <c r="H334" t="s">
        <v>92</v>
      </c>
      <c r="J334">
        <v>53.707019979999998</v>
      </c>
      <c r="K334">
        <v>12.909720119999999</v>
      </c>
      <c r="L334" t="s">
        <v>4</v>
      </c>
      <c r="M334">
        <v>0</v>
      </c>
      <c r="N334">
        <v>2.7714789999999999E-3</v>
      </c>
      <c r="O334">
        <v>1.6144496000000001E-2</v>
      </c>
      <c r="P334">
        <v>3.9555651999999997E-2</v>
      </c>
      <c r="Q334">
        <v>5.8596385000000001E-2</v>
      </c>
      <c r="R334">
        <v>8.1407438999999998E-2</v>
      </c>
      <c r="S334">
        <v>8.1407438999999998E-2</v>
      </c>
    </row>
    <row r="335" spans="1:19" x14ac:dyDescent="0.25">
      <c r="A335" t="s">
        <v>2</v>
      </c>
      <c r="B335" t="s">
        <v>88</v>
      </c>
      <c r="C335" t="s">
        <v>89</v>
      </c>
      <c r="D335" t="s">
        <v>3</v>
      </c>
      <c r="E335" t="s">
        <v>339</v>
      </c>
      <c r="F335" t="s">
        <v>340</v>
      </c>
      <c r="G335" t="s">
        <v>7</v>
      </c>
      <c r="H335" t="s">
        <v>92</v>
      </c>
      <c r="J335">
        <v>54.144674190000003</v>
      </c>
      <c r="K335">
        <v>12.14359705</v>
      </c>
      <c r="L335" t="s">
        <v>4</v>
      </c>
      <c r="M335">
        <v>0</v>
      </c>
      <c r="N335">
        <v>4.903386E-3</v>
      </c>
      <c r="O335">
        <v>2.856334E-2</v>
      </c>
      <c r="P335">
        <v>6.9983077000000005E-2</v>
      </c>
      <c r="Q335">
        <v>0.103670527</v>
      </c>
      <c r="R335">
        <v>0.14402854500000001</v>
      </c>
      <c r="S335">
        <v>0.14402854500000001</v>
      </c>
    </row>
    <row r="336" spans="1:19" x14ac:dyDescent="0.25">
      <c r="A336" t="s">
        <v>2</v>
      </c>
      <c r="B336" t="s">
        <v>88</v>
      </c>
      <c r="C336" t="s">
        <v>89</v>
      </c>
      <c r="D336" t="s">
        <v>3</v>
      </c>
      <c r="E336" t="s">
        <v>341</v>
      </c>
      <c r="F336" t="s">
        <v>342</v>
      </c>
      <c r="G336" t="s">
        <v>7</v>
      </c>
      <c r="H336" t="s">
        <v>92</v>
      </c>
      <c r="J336">
        <v>53.298520959999998</v>
      </c>
      <c r="K336">
        <v>11.516331470000001</v>
      </c>
      <c r="L336" t="s">
        <v>4</v>
      </c>
      <c r="M336">
        <v>0</v>
      </c>
      <c r="N336">
        <v>1.2365060000000001E-3</v>
      </c>
      <c r="O336">
        <v>7.2029290000000003E-3</v>
      </c>
      <c r="P336">
        <v>1.7647906000000001E-2</v>
      </c>
      <c r="Q336">
        <v>2.6143001999999999E-2</v>
      </c>
      <c r="R336">
        <v>3.6320242000000003E-2</v>
      </c>
      <c r="S336">
        <v>3.6320242000000003E-2</v>
      </c>
    </row>
    <row r="337" spans="1:19" x14ac:dyDescent="0.25">
      <c r="A337" t="s">
        <v>2</v>
      </c>
      <c r="B337" t="s">
        <v>88</v>
      </c>
      <c r="C337" t="s">
        <v>89</v>
      </c>
      <c r="D337" t="s">
        <v>3</v>
      </c>
      <c r="E337" t="s">
        <v>343</v>
      </c>
      <c r="F337" t="s">
        <v>344</v>
      </c>
      <c r="G337" t="s">
        <v>7</v>
      </c>
      <c r="H337" t="s">
        <v>92</v>
      </c>
      <c r="J337">
        <v>54.096261060000003</v>
      </c>
      <c r="K337">
        <v>10.79355679</v>
      </c>
      <c r="L337" t="s">
        <v>4</v>
      </c>
      <c r="M337">
        <v>0</v>
      </c>
      <c r="N337">
        <v>1.079981E-3</v>
      </c>
      <c r="O337">
        <v>6.2911379999999999E-3</v>
      </c>
      <c r="P337">
        <v>1.5413925E-2</v>
      </c>
      <c r="Q337">
        <v>2.2833658999999999E-2</v>
      </c>
      <c r="R337">
        <v>3.1722599999999997E-2</v>
      </c>
      <c r="S337">
        <v>3.1722599999999997E-2</v>
      </c>
    </row>
    <row r="338" spans="1:19" x14ac:dyDescent="0.25">
      <c r="A338" t="s">
        <v>2</v>
      </c>
      <c r="B338" t="s">
        <v>88</v>
      </c>
      <c r="C338" t="s">
        <v>89</v>
      </c>
      <c r="D338" t="s">
        <v>3</v>
      </c>
      <c r="E338" t="s">
        <v>345</v>
      </c>
      <c r="F338" t="s">
        <v>346</v>
      </c>
      <c r="G338" t="s">
        <v>7</v>
      </c>
      <c r="H338" t="s">
        <v>92</v>
      </c>
      <c r="J338">
        <v>54.307207630000001</v>
      </c>
      <c r="K338">
        <v>10.11225058</v>
      </c>
      <c r="L338" t="s">
        <v>4</v>
      </c>
      <c r="M338">
        <v>0</v>
      </c>
      <c r="N338">
        <v>2.98467E-3</v>
      </c>
      <c r="O338">
        <v>1.7386380999999999E-2</v>
      </c>
      <c r="P338">
        <v>4.2598393999999998E-2</v>
      </c>
      <c r="Q338">
        <v>6.3103799000000002E-2</v>
      </c>
      <c r="R338">
        <v>8.7669548999999999E-2</v>
      </c>
      <c r="S338">
        <v>8.7669548999999999E-2</v>
      </c>
    </row>
    <row r="339" spans="1:19" x14ac:dyDescent="0.25">
      <c r="A339" t="s">
        <v>2</v>
      </c>
      <c r="B339" t="s">
        <v>88</v>
      </c>
      <c r="C339" t="s">
        <v>89</v>
      </c>
      <c r="D339" t="s">
        <v>3</v>
      </c>
      <c r="E339" t="s">
        <v>347</v>
      </c>
      <c r="F339" t="s">
        <v>348</v>
      </c>
      <c r="G339" t="s">
        <v>7</v>
      </c>
      <c r="H339" t="s">
        <v>92</v>
      </c>
      <c r="J339">
        <v>54.083000830000003</v>
      </c>
      <c r="K339">
        <v>9.9905855989999992</v>
      </c>
      <c r="L339" t="s">
        <v>4</v>
      </c>
      <c r="M339">
        <v>0</v>
      </c>
      <c r="N339">
        <v>4.2638140000000003E-3</v>
      </c>
      <c r="O339">
        <v>2.4837687000000001E-2</v>
      </c>
      <c r="P339">
        <v>6.0854849000000003E-2</v>
      </c>
      <c r="Q339">
        <v>9.0148283999999995E-2</v>
      </c>
      <c r="R339">
        <v>0.12524221299999999</v>
      </c>
      <c r="S339">
        <v>0.12524221299999999</v>
      </c>
    </row>
    <row r="340" spans="1:19" x14ac:dyDescent="0.25">
      <c r="A340" t="s">
        <v>2</v>
      </c>
      <c r="B340" t="s">
        <v>88</v>
      </c>
      <c r="C340" t="s">
        <v>89</v>
      </c>
      <c r="D340" t="s">
        <v>3</v>
      </c>
      <c r="E340" t="s">
        <v>349</v>
      </c>
      <c r="F340" t="s">
        <v>350</v>
      </c>
      <c r="G340" t="s">
        <v>7</v>
      </c>
      <c r="H340" t="s">
        <v>92</v>
      </c>
      <c r="J340">
        <v>53.618567259999999</v>
      </c>
      <c r="K340">
        <v>10.22449729</v>
      </c>
      <c r="L340" t="s">
        <v>4</v>
      </c>
      <c r="M340">
        <v>0</v>
      </c>
      <c r="N340">
        <v>7.4616739999999997E-3</v>
      </c>
      <c r="O340">
        <v>4.3465952000000002E-2</v>
      </c>
      <c r="P340">
        <v>0.106495986</v>
      </c>
      <c r="Q340">
        <v>0.157759498</v>
      </c>
      <c r="R340">
        <v>0.21917387299999999</v>
      </c>
      <c r="S340">
        <v>0.21917387299999999</v>
      </c>
    </row>
    <row r="341" spans="1:19" x14ac:dyDescent="0.25">
      <c r="A341" t="s">
        <v>2</v>
      </c>
      <c r="B341" t="s">
        <v>88</v>
      </c>
      <c r="C341" t="s">
        <v>89</v>
      </c>
      <c r="D341" t="s">
        <v>3</v>
      </c>
      <c r="E341" t="s">
        <v>351</v>
      </c>
      <c r="F341" t="s">
        <v>352</v>
      </c>
      <c r="G341" t="s">
        <v>7</v>
      </c>
      <c r="H341" t="s">
        <v>92</v>
      </c>
      <c r="J341">
        <v>53.53183087</v>
      </c>
      <c r="K341">
        <v>10.07311881</v>
      </c>
      <c r="L341" t="s">
        <v>4</v>
      </c>
      <c r="M341">
        <v>0</v>
      </c>
      <c r="N341">
        <v>7.4616739999999997E-3</v>
      </c>
      <c r="O341">
        <v>4.3465952000000002E-2</v>
      </c>
      <c r="P341">
        <v>0.106495986</v>
      </c>
      <c r="Q341">
        <v>0.157759498</v>
      </c>
      <c r="R341">
        <v>0.21917387299999999</v>
      </c>
      <c r="S341">
        <v>0.21917387299999999</v>
      </c>
    </row>
    <row r="342" spans="1:19" x14ac:dyDescent="0.25">
      <c r="A342" t="s">
        <v>2</v>
      </c>
      <c r="B342" t="s">
        <v>88</v>
      </c>
      <c r="C342" t="s">
        <v>89</v>
      </c>
      <c r="D342" t="s">
        <v>3</v>
      </c>
      <c r="E342" t="s">
        <v>351</v>
      </c>
      <c r="F342" t="s">
        <v>352</v>
      </c>
      <c r="G342" t="s">
        <v>7</v>
      </c>
      <c r="H342" t="s">
        <v>92</v>
      </c>
      <c r="J342">
        <v>53.520923260000004</v>
      </c>
      <c r="K342">
        <v>9.9339566730000008</v>
      </c>
      <c r="L342" t="s">
        <v>4</v>
      </c>
      <c r="M342">
        <v>0</v>
      </c>
      <c r="N342">
        <v>6.822102E-3</v>
      </c>
      <c r="O342">
        <v>3.9740299E-2</v>
      </c>
      <c r="P342">
        <v>9.7367758999999998E-2</v>
      </c>
      <c r="Q342">
        <v>0.14423725500000001</v>
      </c>
      <c r="R342">
        <v>0.200387541</v>
      </c>
      <c r="S342">
        <v>0.200387541</v>
      </c>
    </row>
    <row r="343" spans="1:19" x14ac:dyDescent="0.25">
      <c r="A343" t="s">
        <v>2</v>
      </c>
      <c r="B343" t="s">
        <v>88</v>
      </c>
      <c r="C343" t="s">
        <v>89</v>
      </c>
      <c r="D343" t="s">
        <v>3</v>
      </c>
      <c r="E343" t="s">
        <v>353</v>
      </c>
      <c r="F343" t="s">
        <v>354</v>
      </c>
      <c r="G343" t="s">
        <v>7</v>
      </c>
      <c r="H343" t="s">
        <v>92</v>
      </c>
      <c r="J343">
        <v>53.70506778</v>
      </c>
      <c r="K343">
        <v>9.7764563590000009</v>
      </c>
      <c r="L343" t="s">
        <v>4</v>
      </c>
      <c r="M343">
        <v>0</v>
      </c>
      <c r="N343">
        <v>1.705526E-3</v>
      </c>
      <c r="O343">
        <v>9.9350749999999998E-3</v>
      </c>
      <c r="P343">
        <v>2.4341939999999999E-2</v>
      </c>
      <c r="Q343">
        <v>3.6059314000000002E-2</v>
      </c>
      <c r="R343">
        <v>5.0096885000000001E-2</v>
      </c>
      <c r="S343">
        <v>5.0096885000000001E-2</v>
      </c>
    </row>
    <row r="344" spans="1:19" x14ac:dyDescent="0.25">
      <c r="A344" t="s">
        <v>2</v>
      </c>
      <c r="B344" t="s">
        <v>88</v>
      </c>
      <c r="C344" t="s">
        <v>89</v>
      </c>
      <c r="D344" t="s">
        <v>3</v>
      </c>
      <c r="E344" t="s">
        <v>101</v>
      </c>
      <c r="F344" t="s">
        <v>102</v>
      </c>
      <c r="G344" t="s">
        <v>7</v>
      </c>
      <c r="H344" t="s">
        <v>92</v>
      </c>
      <c r="J344">
        <v>53.781289000000001</v>
      </c>
      <c r="K344">
        <v>9.4256796680000008</v>
      </c>
      <c r="L344" t="s">
        <v>4</v>
      </c>
      <c r="M344">
        <v>0</v>
      </c>
      <c r="N344">
        <v>5.1165769999999998E-3</v>
      </c>
      <c r="O344">
        <v>2.9805224000000002E-2</v>
      </c>
      <c r="P344">
        <v>7.3025819000000006E-2</v>
      </c>
      <c r="Q344">
        <v>0.108177941</v>
      </c>
      <c r="R344">
        <v>0.15029065599999999</v>
      </c>
      <c r="S344">
        <v>0.15029065599999999</v>
      </c>
    </row>
    <row r="345" spans="1:19" x14ac:dyDescent="0.25">
      <c r="A345" t="s">
        <v>2</v>
      </c>
      <c r="B345" t="s">
        <v>88</v>
      </c>
      <c r="C345" t="s">
        <v>89</v>
      </c>
      <c r="D345" t="s">
        <v>3</v>
      </c>
      <c r="E345" t="s">
        <v>355</v>
      </c>
      <c r="F345" t="s">
        <v>356</v>
      </c>
      <c r="G345" t="s">
        <v>7</v>
      </c>
      <c r="H345" t="s">
        <v>92</v>
      </c>
      <c r="J345">
        <v>53.547990830000003</v>
      </c>
      <c r="K345">
        <v>8.6178952459999998</v>
      </c>
      <c r="L345" t="s">
        <v>4</v>
      </c>
      <c r="M345">
        <v>0</v>
      </c>
      <c r="N345">
        <v>8.5596060000000009E-3</v>
      </c>
      <c r="O345">
        <v>4.9861655999999997E-2</v>
      </c>
      <c r="P345">
        <v>0.12216610999999999</v>
      </c>
      <c r="Q345">
        <v>0.180972681</v>
      </c>
      <c r="R345">
        <v>0.25142374299999998</v>
      </c>
      <c r="S345">
        <v>0.25142374299999998</v>
      </c>
    </row>
    <row r="346" spans="1:19" x14ac:dyDescent="0.25">
      <c r="A346" t="s">
        <v>2</v>
      </c>
      <c r="B346" t="s">
        <v>88</v>
      </c>
      <c r="C346" t="s">
        <v>89</v>
      </c>
      <c r="D346" t="s">
        <v>3</v>
      </c>
      <c r="E346" t="s">
        <v>357</v>
      </c>
      <c r="F346" t="s">
        <v>358</v>
      </c>
      <c r="G346" t="s">
        <v>7</v>
      </c>
      <c r="H346" t="s">
        <v>92</v>
      </c>
      <c r="J346">
        <v>53.179208619999997</v>
      </c>
      <c r="K346">
        <v>8.5723346720000002</v>
      </c>
      <c r="L346" t="s">
        <v>4</v>
      </c>
      <c r="M346">
        <v>0</v>
      </c>
      <c r="N346">
        <v>1.385739E-3</v>
      </c>
      <c r="O346">
        <v>8.0722480000000006E-3</v>
      </c>
      <c r="P346">
        <v>1.9777825999999998E-2</v>
      </c>
      <c r="Q346">
        <v>2.9298192000000001E-2</v>
      </c>
      <c r="R346">
        <v>4.0703718999999999E-2</v>
      </c>
      <c r="S346">
        <v>4.0703718999999999E-2</v>
      </c>
    </row>
    <row r="347" spans="1:19" x14ac:dyDescent="0.25">
      <c r="A347" t="s">
        <v>2</v>
      </c>
      <c r="B347" t="s">
        <v>88</v>
      </c>
      <c r="C347" t="s">
        <v>89</v>
      </c>
      <c r="D347" t="s">
        <v>3</v>
      </c>
      <c r="E347" t="s">
        <v>359</v>
      </c>
      <c r="F347" t="s">
        <v>360</v>
      </c>
      <c r="G347" t="s">
        <v>7</v>
      </c>
      <c r="H347" t="s">
        <v>92</v>
      </c>
      <c r="J347">
        <v>53.124072060000003</v>
      </c>
      <c r="K347">
        <v>8.7278352229999996</v>
      </c>
      <c r="L347" t="s">
        <v>4</v>
      </c>
      <c r="M347">
        <v>0</v>
      </c>
      <c r="N347">
        <v>7.3550789999999996E-3</v>
      </c>
      <c r="O347">
        <v>4.2845010000000003E-2</v>
      </c>
      <c r="P347">
        <v>0.10497461499999999</v>
      </c>
      <c r="Q347">
        <v>0.155505791</v>
      </c>
      <c r="R347">
        <v>0.216042818</v>
      </c>
      <c r="S347">
        <v>0.216042818</v>
      </c>
    </row>
    <row r="348" spans="1:19" x14ac:dyDescent="0.25">
      <c r="A348" t="s">
        <v>2</v>
      </c>
      <c r="B348" t="s">
        <v>88</v>
      </c>
      <c r="C348" t="s">
        <v>89</v>
      </c>
      <c r="D348" t="s">
        <v>3</v>
      </c>
      <c r="E348" t="s">
        <v>359</v>
      </c>
      <c r="F348" t="s">
        <v>360</v>
      </c>
      <c r="G348" t="s">
        <v>7</v>
      </c>
      <c r="H348" t="s">
        <v>92</v>
      </c>
      <c r="J348">
        <v>53.114351059999997</v>
      </c>
      <c r="K348">
        <v>8.8167435249999997</v>
      </c>
      <c r="L348" t="s">
        <v>4</v>
      </c>
      <c r="M348">
        <v>0</v>
      </c>
      <c r="N348">
        <v>1.1725487999999999E-2</v>
      </c>
      <c r="O348">
        <v>6.8303638E-2</v>
      </c>
      <c r="P348">
        <v>0.167350835</v>
      </c>
      <c r="Q348">
        <v>0.24790778199999999</v>
      </c>
      <c r="R348">
        <v>0.34441608699999998</v>
      </c>
      <c r="S348">
        <v>0.34441608699999998</v>
      </c>
    </row>
    <row r="349" spans="1:19" x14ac:dyDescent="0.25">
      <c r="A349" t="s">
        <v>2</v>
      </c>
      <c r="B349" t="s">
        <v>88</v>
      </c>
      <c r="C349" t="s">
        <v>89</v>
      </c>
      <c r="D349" t="s">
        <v>3</v>
      </c>
      <c r="E349" t="s">
        <v>361</v>
      </c>
      <c r="F349" t="s">
        <v>362</v>
      </c>
      <c r="G349" t="s">
        <v>7</v>
      </c>
      <c r="H349" t="s">
        <v>92</v>
      </c>
      <c r="J349">
        <v>53.181020879999998</v>
      </c>
      <c r="K349">
        <v>7.354555951</v>
      </c>
      <c r="L349" t="s">
        <v>4</v>
      </c>
      <c r="M349">
        <v>0</v>
      </c>
      <c r="N349">
        <v>3.837432E-3</v>
      </c>
      <c r="O349">
        <v>2.2353918E-2</v>
      </c>
      <c r="P349">
        <v>5.4769364000000001E-2</v>
      </c>
      <c r="Q349">
        <v>8.1133456000000007E-2</v>
      </c>
      <c r="R349">
        <v>0.112717992</v>
      </c>
      <c r="S349">
        <v>0.112717992</v>
      </c>
    </row>
    <row r="350" spans="1:19" x14ac:dyDescent="0.25">
      <c r="A350" t="s">
        <v>2</v>
      </c>
      <c r="B350" t="s">
        <v>88</v>
      </c>
      <c r="C350" t="s">
        <v>89</v>
      </c>
      <c r="D350" t="s">
        <v>3</v>
      </c>
      <c r="E350" t="s">
        <v>363</v>
      </c>
      <c r="F350" t="s">
        <v>364</v>
      </c>
      <c r="G350" t="s">
        <v>7</v>
      </c>
      <c r="H350" t="s">
        <v>92</v>
      </c>
      <c r="J350">
        <v>52.643203130000003</v>
      </c>
      <c r="K350">
        <v>6.7421377009999999</v>
      </c>
      <c r="L350" t="s">
        <v>4</v>
      </c>
      <c r="M350">
        <v>0</v>
      </c>
      <c r="N350">
        <v>9.6826099999999995E-3</v>
      </c>
      <c r="O350">
        <v>5.6403406000000003E-2</v>
      </c>
      <c r="P350">
        <v>0.13819406000000001</v>
      </c>
      <c r="Q350">
        <v>0.20471593599999999</v>
      </c>
      <c r="R350">
        <v>0.284410037</v>
      </c>
      <c r="S350">
        <v>0.284410037</v>
      </c>
    </row>
    <row r="351" spans="1:19" x14ac:dyDescent="0.25">
      <c r="A351" t="s">
        <v>2</v>
      </c>
      <c r="B351" t="s">
        <v>88</v>
      </c>
      <c r="C351" t="s">
        <v>89</v>
      </c>
      <c r="D351" t="s">
        <v>3</v>
      </c>
      <c r="E351" t="s">
        <v>365</v>
      </c>
      <c r="F351" t="s">
        <v>366</v>
      </c>
      <c r="G351" t="s">
        <v>7</v>
      </c>
      <c r="H351" t="s">
        <v>92</v>
      </c>
      <c r="J351">
        <v>52.313141109999997</v>
      </c>
      <c r="K351">
        <v>7.3507255469999997</v>
      </c>
      <c r="L351" t="s">
        <v>4</v>
      </c>
      <c r="M351">
        <v>0</v>
      </c>
      <c r="N351">
        <v>2.7714789999999999E-3</v>
      </c>
      <c r="O351">
        <v>1.6144496000000001E-2</v>
      </c>
      <c r="P351">
        <v>3.9555651999999997E-2</v>
      </c>
      <c r="Q351">
        <v>5.8596385000000001E-2</v>
      </c>
      <c r="R351">
        <v>8.1407438999999998E-2</v>
      </c>
      <c r="S351">
        <v>8.1407438999999998E-2</v>
      </c>
    </row>
    <row r="352" spans="1:19" x14ac:dyDescent="0.25">
      <c r="A352" t="s">
        <v>2</v>
      </c>
      <c r="B352" t="s">
        <v>88</v>
      </c>
      <c r="C352" t="s">
        <v>89</v>
      </c>
      <c r="D352" t="s">
        <v>3</v>
      </c>
      <c r="E352" t="s">
        <v>196</v>
      </c>
      <c r="F352" t="s">
        <v>197</v>
      </c>
      <c r="G352" t="s">
        <v>367</v>
      </c>
      <c r="H352" t="s">
        <v>92</v>
      </c>
      <c r="J352">
        <v>52.166141000000003</v>
      </c>
      <c r="K352">
        <v>14.617682</v>
      </c>
      <c r="L352" t="s">
        <v>4</v>
      </c>
      <c r="M352">
        <v>0</v>
      </c>
      <c r="N352">
        <v>0</v>
      </c>
      <c r="O352">
        <v>0</v>
      </c>
      <c r="P352">
        <v>0.82042899999999996</v>
      </c>
      <c r="Q352">
        <v>1.640857</v>
      </c>
      <c r="R352">
        <v>2.4612859999999999</v>
      </c>
      <c r="S352">
        <v>2.4612859999999999</v>
      </c>
    </row>
    <row r="353" spans="1:19" x14ac:dyDescent="0.25">
      <c r="A353" t="s">
        <v>2</v>
      </c>
      <c r="B353" t="s">
        <v>88</v>
      </c>
      <c r="C353" t="s">
        <v>89</v>
      </c>
      <c r="D353" t="s">
        <v>3</v>
      </c>
      <c r="E353" t="s">
        <v>359</v>
      </c>
      <c r="F353" t="s">
        <v>360</v>
      </c>
      <c r="G353" t="s">
        <v>367</v>
      </c>
      <c r="H353" t="s">
        <v>92</v>
      </c>
      <c r="J353">
        <v>53.124929999999999</v>
      </c>
      <c r="K353">
        <v>8.6867289999999997</v>
      </c>
      <c r="L353" t="s">
        <v>4</v>
      </c>
      <c r="M353">
        <v>0</v>
      </c>
      <c r="N353">
        <v>0</v>
      </c>
      <c r="O353">
        <v>0</v>
      </c>
      <c r="P353">
        <v>1.7802180000000001</v>
      </c>
      <c r="Q353">
        <v>3.5604360000000002</v>
      </c>
      <c r="R353">
        <v>5.3406539999999998</v>
      </c>
      <c r="S353">
        <v>5.3406539999999998</v>
      </c>
    </row>
    <row r="354" spans="1:19" x14ac:dyDescent="0.25">
      <c r="A354" t="s">
        <v>2</v>
      </c>
      <c r="B354" t="s">
        <v>88</v>
      </c>
      <c r="C354" t="s">
        <v>89</v>
      </c>
      <c r="D354" t="s">
        <v>3</v>
      </c>
      <c r="E354" t="s">
        <v>368</v>
      </c>
      <c r="F354" t="s">
        <v>369</v>
      </c>
      <c r="G354" t="s">
        <v>367</v>
      </c>
      <c r="H354" t="s">
        <v>92</v>
      </c>
      <c r="J354">
        <v>52.154764999999998</v>
      </c>
      <c r="K354">
        <v>10.403074999999999</v>
      </c>
      <c r="L354" t="s">
        <v>4</v>
      </c>
      <c r="M354">
        <v>0</v>
      </c>
      <c r="N354">
        <v>0</v>
      </c>
      <c r="O354">
        <v>0</v>
      </c>
      <c r="P354">
        <v>1.1826000000000001</v>
      </c>
      <c r="Q354">
        <v>2.3652000000000002</v>
      </c>
      <c r="R354">
        <v>3.5478000000000001</v>
      </c>
      <c r="S354">
        <v>3.5478000000000001</v>
      </c>
    </row>
    <row r="355" spans="1:19" x14ac:dyDescent="0.25">
      <c r="A355" t="s">
        <v>2</v>
      </c>
      <c r="B355" t="s">
        <v>88</v>
      </c>
      <c r="C355" t="s">
        <v>89</v>
      </c>
      <c r="D355" t="s">
        <v>3</v>
      </c>
      <c r="E355" t="s">
        <v>370</v>
      </c>
      <c r="F355" t="s">
        <v>371</v>
      </c>
      <c r="G355" t="s">
        <v>367</v>
      </c>
      <c r="H355" t="s">
        <v>92</v>
      </c>
      <c r="J355">
        <v>51.503689999999999</v>
      </c>
      <c r="K355">
        <v>6.7359070000000001</v>
      </c>
      <c r="L355" t="s">
        <v>4</v>
      </c>
      <c r="M355">
        <v>0</v>
      </c>
      <c r="N355">
        <v>0</v>
      </c>
      <c r="O355">
        <v>0</v>
      </c>
      <c r="P355">
        <v>3.98142</v>
      </c>
      <c r="Q355">
        <v>7.9628399999999999</v>
      </c>
      <c r="R355">
        <v>11.94426</v>
      </c>
      <c r="S355">
        <v>11.94426</v>
      </c>
    </row>
    <row r="356" spans="1:19" x14ac:dyDescent="0.25">
      <c r="A356" t="s">
        <v>2</v>
      </c>
      <c r="B356" t="s">
        <v>88</v>
      </c>
      <c r="C356" t="s">
        <v>89</v>
      </c>
      <c r="D356" t="s">
        <v>3</v>
      </c>
      <c r="E356" t="s">
        <v>372</v>
      </c>
      <c r="F356" t="s">
        <v>373</v>
      </c>
      <c r="G356" t="s">
        <v>367</v>
      </c>
      <c r="H356" t="s">
        <v>92</v>
      </c>
      <c r="J356">
        <v>49.352136999999999</v>
      </c>
      <c r="K356">
        <v>6.7436530000000001</v>
      </c>
      <c r="L356" t="s">
        <v>4</v>
      </c>
      <c r="M356">
        <v>0</v>
      </c>
      <c r="N356">
        <v>0</v>
      </c>
      <c r="O356">
        <v>0</v>
      </c>
      <c r="P356">
        <v>0.66149999999999998</v>
      </c>
      <c r="Q356">
        <v>1.323</v>
      </c>
      <c r="R356">
        <v>1.9844999999999999</v>
      </c>
      <c r="S356">
        <v>1.9844999999999999</v>
      </c>
    </row>
    <row r="357" spans="1:19" x14ac:dyDescent="0.25">
      <c r="A357" t="s">
        <v>2</v>
      </c>
      <c r="B357" t="s">
        <v>88</v>
      </c>
      <c r="C357" t="s">
        <v>89</v>
      </c>
      <c r="D357" t="s">
        <v>3</v>
      </c>
      <c r="E357" t="s">
        <v>374</v>
      </c>
      <c r="F357" t="s">
        <v>375</v>
      </c>
      <c r="G357" t="s">
        <v>376</v>
      </c>
      <c r="H357" t="s">
        <v>92</v>
      </c>
      <c r="J357">
        <v>49.025399999999998</v>
      </c>
      <c r="K357">
        <v>8.4304000000000006</v>
      </c>
      <c r="L357" t="s">
        <v>4</v>
      </c>
      <c r="M357">
        <v>0</v>
      </c>
      <c r="N357">
        <v>0</v>
      </c>
      <c r="O357">
        <v>0</v>
      </c>
      <c r="P357">
        <v>0.68666700000000003</v>
      </c>
      <c r="Q357">
        <v>1.3733329999999999</v>
      </c>
      <c r="R357">
        <v>2.06</v>
      </c>
      <c r="S357">
        <v>2.06</v>
      </c>
    </row>
    <row r="358" spans="1:19" x14ac:dyDescent="0.25">
      <c r="A358" t="s">
        <v>2</v>
      </c>
      <c r="B358" t="s">
        <v>88</v>
      </c>
      <c r="C358" t="s">
        <v>89</v>
      </c>
      <c r="D358" t="s">
        <v>3</v>
      </c>
      <c r="E358" t="s">
        <v>220</v>
      </c>
      <c r="F358" t="s">
        <v>377</v>
      </c>
      <c r="G358" t="s">
        <v>378</v>
      </c>
      <c r="H358" t="s">
        <v>92</v>
      </c>
      <c r="J358">
        <v>48.174922000000002</v>
      </c>
      <c r="K358">
        <v>12.816148999999999</v>
      </c>
      <c r="L358" t="s">
        <v>4</v>
      </c>
      <c r="M358">
        <v>0</v>
      </c>
      <c r="N358">
        <v>0</v>
      </c>
      <c r="O358">
        <v>0</v>
      </c>
      <c r="P358">
        <v>0.217</v>
      </c>
      <c r="Q358">
        <v>0.434</v>
      </c>
      <c r="R358">
        <v>0.65100000000000002</v>
      </c>
      <c r="S358">
        <v>0.65100000000000002</v>
      </c>
    </row>
    <row r="359" spans="1:19" x14ac:dyDescent="0.25">
      <c r="A359" t="s">
        <v>2</v>
      </c>
      <c r="B359" t="s">
        <v>88</v>
      </c>
      <c r="C359" t="s">
        <v>89</v>
      </c>
      <c r="D359" t="s">
        <v>3</v>
      </c>
      <c r="E359" t="s">
        <v>220</v>
      </c>
      <c r="F359" t="s">
        <v>377</v>
      </c>
      <c r="G359" t="s">
        <v>376</v>
      </c>
      <c r="H359" t="s">
        <v>92</v>
      </c>
      <c r="J359">
        <v>48.1571</v>
      </c>
      <c r="K359">
        <v>12.84</v>
      </c>
      <c r="L359" t="s">
        <v>4</v>
      </c>
      <c r="M359">
        <v>0</v>
      </c>
      <c r="N359">
        <v>0</v>
      </c>
      <c r="O359">
        <v>0</v>
      </c>
      <c r="P359">
        <v>0.27400000000000002</v>
      </c>
      <c r="Q359">
        <v>0.54800000000000004</v>
      </c>
      <c r="R359">
        <v>0.82199999999999995</v>
      </c>
      <c r="S359">
        <v>0.82199999999999995</v>
      </c>
    </row>
    <row r="360" spans="1:19" x14ac:dyDescent="0.25">
      <c r="A360" t="s">
        <v>2</v>
      </c>
      <c r="B360" t="s">
        <v>88</v>
      </c>
      <c r="C360" t="s">
        <v>89</v>
      </c>
      <c r="D360" t="s">
        <v>3</v>
      </c>
      <c r="E360" t="s">
        <v>238</v>
      </c>
      <c r="F360" t="s">
        <v>379</v>
      </c>
      <c r="G360" t="s">
        <v>378</v>
      </c>
      <c r="H360" t="s">
        <v>92</v>
      </c>
      <c r="J360">
        <v>48.768099999999997</v>
      </c>
      <c r="K360">
        <v>11.771000000000001</v>
      </c>
      <c r="L360" t="s">
        <v>4</v>
      </c>
      <c r="M360">
        <v>0</v>
      </c>
      <c r="N360">
        <v>0</v>
      </c>
      <c r="O360">
        <v>0</v>
      </c>
      <c r="P360">
        <v>3.7999999999999999E-2</v>
      </c>
      <c r="Q360">
        <v>7.5999999999999998E-2</v>
      </c>
      <c r="R360">
        <v>0.114</v>
      </c>
      <c r="S360">
        <v>0.114</v>
      </c>
    </row>
    <row r="361" spans="1:19" x14ac:dyDescent="0.25">
      <c r="A361" t="s">
        <v>2</v>
      </c>
      <c r="B361" t="s">
        <v>88</v>
      </c>
      <c r="C361" t="s">
        <v>89</v>
      </c>
      <c r="D361" t="s">
        <v>3</v>
      </c>
      <c r="E361" t="s">
        <v>238</v>
      </c>
      <c r="F361" t="s">
        <v>379</v>
      </c>
      <c r="G361" t="s">
        <v>380</v>
      </c>
      <c r="H361" t="s">
        <v>92</v>
      </c>
      <c r="J361">
        <v>48.768099999999997</v>
      </c>
      <c r="K361">
        <v>11.771000000000001</v>
      </c>
      <c r="L361" t="s">
        <v>4</v>
      </c>
      <c r="M361">
        <v>0</v>
      </c>
      <c r="N361">
        <v>0</v>
      </c>
      <c r="O361">
        <v>0</v>
      </c>
      <c r="P361">
        <v>0.112667</v>
      </c>
      <c r="Q361">
        <v>0.22533300000000001</v>
      </c>
      <c r="R361">
        <v>0.33800000000000002</v>
      </c>
      <c r="S361">
        <v>0.33800000000000002</v>
      </c>
    </row>
    <row r="362" spans="1:19" x14ac:dyDescent="0.25">
      <c r="A362" t="s">
        <v>2</v>
      </c>
      <c r="B362" t="s">
        <v>88</v>
      </c>
      <c r="C362" t="s">
        <v>89</v>
      </c>
      <c r="D362" t="s">
        <v>3</v>
      </c>
      <c r="E362" t="s">
        <v>381</v>
      </c>
      <c r="F362" t="s">
        <v>382</v>
      </c>
      <c r="G362" t="s">
        <v>376</v>
      </c>
      <c r="H362" t="s">
        <v>92</v>
      </c>
      <c r="J362">
        <v>48.771900000000002</v>
      </c>
      <c r="K362">
        <v>11.6206</v>
      </c>
      <c r="L362" t="s">
        <v>4</v>
      </c>
      <c r="M362">
        <v>0</v>
      </c>
      <c r="N362">
        <v>0</v>
      </c>
      <c r="O362">
        <v>0</v>
      </c>
      <c r="P362">
        <v>0.10828500000000001</v>
      </c>
      <c r="Q362">
        <v>0.21657000000000001</v>
      </c>
      <c r="R362">
        <v>0.324855</v>
      </c>
      <c r="S362">
        <v>0.324855</v>
      </c>
    </row>
    <row r="363" spans="1:19" x14ac:dyDescent="0.25">
      <c r="A363" t="s">
        <v>2</v>
      </c>
      <c r="B363" t="s">
        <v>88</v>
      </c>
      <c r="C363" t="s">
        <v>89</v>
      </c>
      <c r="D363" t="s">
        <v>3</v>
      </c>
      <c r="E363" t="s">
        <v>146</v>
      </c>
      <c r="F363" t="s">
        <v>147</v>
      </c>
      <c r="G363" t="s">
        <v>376</v>
      </c>
      <c r="H363" t="s">
        <v>92</v>
      </c>
      <c r="J363">
        <v>48.805999999999997</v>
      </c>
      <c r="K363">
        <v>11.7606</v>
      </c>
      <c r="L363" t="s">
        <v>4</v>
      </c>
      <c r="M363">
        <v>0</v>
      </c>
      <c r="N363">
        <v>0</v>
      </c>
      <c r="O363">
        <v>0</v>
      </c>
      <c r="P363">
        <v>0.28804800000000003</v>
      </c>
      <c r="Q363">
        <v>0.57609699999999997</v>
      </c>
      <c r="R363">
        <v>0.86414500000000005</v>
      </c>
      <c r="S363">
        <v>0.86414500000000005</v>
      </c>
    </row>
    <row r="364" spans="1:19" x14ac:dyDescent="0.25">
      <c r="A364" t="s">
        <v>2</v>
      </c>
      <c r="B364" t="s">
        <v>88</v>
      </c>
      <c r="C364" t="s">
        <v>89</v>
      </c>
      <c r="D364" t="s">
        <v>3</v>
      </c>
      <c r="E364" t="s">
        <v>329</v>
      </c>
      <c r="F364" t="s">
        <v>330</v>
      </c>
      <c r="G364" t="s">
        <v>378</v>
      </c>
      <c r="H364" t="s">
        <v>92</v>
      </c>
      <c r="J364">
        <v>51.502800000000001</v>
      </c>
      <c r="K364">
        <v>13.8514</v>
      </c>
      <c r="L364" t="s">
        <v>4</v>
      </c>
      <c r="M364">
        <v>0</v>
      </c>
      <c r="N364">
        <v>0</v>
      </c>
      <c r="O364">
        <v>0</v>
      </c>
      <c r="P364">
        <v>8.4000000000000005E-2</v>
      </c>
      <c r="Q364">
        <v>0.16800000000000001</v>
      </c>
      <c r="R364">
        <v>0.252</v>
      </c>
      <c r="S364">
        <v>0.252</v>
      </c>
    </row>
    <row r="365" spans="1:19" x14ac:dyDescent="0.25">
      <c r="A365" t="s">
        <v>2</v>
      </c>
      <c r="B365" t="s">
        <v>88</v>
      </c>
      <c r="C365" t="s">
        <v>89</v>
      </c>
      <c r="D365" t="s">
        <v>3</v>
      </c>
      <c r="E365" t="s">
        <v>335</v>
      </c>
      <c r="F365" t="s">
        <v>336</v>
      </c>
      <c r="G365" t="s">
        <v>376</v>
      </c>
      <c r="H365" t="s">
        <v>92</v>
      </c>
      <c r="J365">
        <v>53.061700000000002</v>
      </c>
      <c r="K365">
        <v>14.272399999999999</v>
      </c>
      <c r="L365" t="s">
        <v>4</v>
      </c>
      <c r="M365">
        <v>0</v>
      </c>
      <c r="N365">
        <v>0</v>
      </c>
      <c r="O365">
        <v>0</v>
      </c>
      <c r="P365">
        <v>0.874</v>
      </c>
      <c r="Q365">
        <v>1.748</v>
      </c>
      <c r="R365">
        <v>2.6219999999999999</v>
      </c>
      <c r="S365">
        <v>2.6219999999999999</v>
      </c>
    </row>
    <row r="366" spans="1:19" x14ac:dyDescent="0.25">
      <c r="A366" t="s">
        <v>2</v>
      </c>
      <c r="B366" t="s">
        <v>88</v>
      </c>
      <c r="C366" t="s">
        <v>89</v>
      </c>
      <c r="D366" t="s">
        <v>3</v>
      </c>
      <c r="E366" t="s">
        <v>351</v>
      </c>
      <c r="F366" t="s">
        <v>352</v>
      </c>
      <c r="G366" t="s">
        <v>376</v>
      </c>
      <c r="H366" t="s">
        <v>92</v>
      </c>
      <c r="J366">
        <v>53.482700000000001</v>
      </c>
      <c r="K366">
        <v>9.9666999999999994</v>
      </c>
      <c r="L366" t="s">
        <v>4</v>
      </c>
      <c r="M366">
        <v>0</v>
      </c>
      <c r="N366">
        <v>0</v>
      </c>
      <c r="O366">
        <v>0</v>
      </c>
      <c r="P366">
        <v>0.21166699999999999</v>
      </c>
      <c r="Q366">
        <v>0.42333300000000001</v>
      </c>
      <c r="R366">
        <v>0.63500000000000001</v>
      </c>
      <c r="S366">
        <v>0.63500000000000001</v>
      </c>
    </row>
    <row r="367" spans="1:19" x14ac:dyDescent="0.25">
      <c r="A367" t="s">
        <v>2</v>
      </c>
      <c r="B367" t="s">
        <v>88</v>
      </c>
      <c r="C367" t="s">
        <v>89</v>
      </c>
      <c r="D367" t="s">
        <v>3</v>
      </c>
      <c r="E367" t="s">
        <v>262</v>
      </c>
      <c r="F367" t="s">
        <v>263</v>
      </c>
      <c r="G367" t="s">
        <v>378</v>
      </c>
      <c r="H367" t="s">
        <v>92</v>
      </c>
      <c r="J367">
        <v>50.098599999999998</v>
      </c>
      <c r="K367">
        <v>8.5340000000000007</v>
      </c>
      <c r="L367" t="s">
        <v>4</v>
      </c>
      <c r="M367">
        <v>0</v>
      </c>
      <c r="N367">
        <v>0</v>
      </c>
      <c r="O367">
        <v>0</v>
      </c>
      <c r="P367">
        <v>0.33033299999999999</v>
      </c>
      <c r="Q367">
        <v>0.660667</v>
      </c>
      <c r="R367">
        <v>0.99099999999999999</v>
      </c>
      <c r="S367">
        <v>0.99099999999999999</v>
      </c>
    </row>
    <row r="368" spans="1:19" x14ac:dyDescent="0.25">
      <c r="A368" t="s">
        <v>2</v>
      </c>
      <c r="B368" t="s">
        <v>88</v>
      </c>
      <c r="C368" t="s">
        <v>89</v>
      </c>
      <c r="D368" t="s">
        <v>3</v>
      </c>
      <c r="E368" t="s">
        <v>383</v>
      </c>
      <c r="F368" t="s">
        <v>384</v>
      </c>
      <c r="G368" t="s">
        <v>378</v>
      </c>
      <c r="H368" t="s">
        <v>92</v>
      </c>
      <c r="J368">
        <v>53.6708</v>
      </c>
      <c r="K368">
        <v>9.5291999999999994</v>
      </c>
      <c r="L368" t="s">
        <v>4</v>
      </c>
      <c r="M368">
        <v>0</v>
      </c>
      <c r="N368">
        <v>0</v>
      </c>
      <c r="O368">
        <v>0</v>
      </c>
      <c r="P368">
        <v>0.224</v>
      </c>
      <c r="Q368">
        <v>0.44800000000000001</v>
      </c>
      <c r="R368">
        <v>0.67200000000000004</v>
      </c>
      <c r="S368">
        <v>0.67200000000000004</v>
      </c>
    </row>
    <row r="369" spans="1:19" x14ac:dyDescent="0.25">
      <c r="A369" t="s">
        <v>2</v>
      </c>
      <c r="B369" t="s">
        <v>88</v>
      </c>
      <c r="C369" t="s">
        <v>89</v>
      </c>
      <c r="D369" t="s">
        <v>3</v>
      </c>
      <c r="E369" t="s">
        <v>365</v>
      </c>
      <c r="F369" t="s">
        <v>366</v>
      </c>
      <c r="G369" t="s">
        <v>376</v>
      </c>
      <c r="H369" t="s">
        <v>92</v>
      </c>
      <c r="J369">
        <v>52.516800000000003</v>
      </c>
      <c r="K369">
        <v>7.3413000000000004</v>
      </c>
      <c r="L369" t="s">
        <v>4</v>
      </c>
      <c r="M369">
        <v>0</v>
      </c>
      <c r="N369">
        <v>0</v>
      </c>
      <c r="O369">
        <v>0</v>
      </c>
      <c r="P369">
        <v>0.29466700000000001</v>
      </c>
      <c r="Q369">
        <v>0.589333</v>
      </c>
      <c r="R369">
        <v>0.88400000000000001</v>
      </c>
      <c r="S369">
        <v>0.88400000000000001</v>
      </c>
    </row>
    <row r="370" spans="1:19" x14ac:dyDescent="0.25">
      <c r="A370" t="s">
        <v>2</v>
      </c>
      <c r="B370" t="s">
        <v>88</v>
      </c>
      <c r="C370" t="s">
        <v>89</v>
      </c>
      <c r="D370" t="s">
        <v>3</v>
      </c>
      <c r="E370" t="s">
        <v>295</v>
      </c>
      <c r="F370" t="s">
        <v>296</v>
      </c>
      <c r="G370" t="s">
        <v>378</v>
      </c>
      <c r="H370" t="s">
        <v>92</v>
      </c>
      <c r="J370">
        <v>51.3489</v>
      </c>
      <c r="K370">
        <v>6.6736000000000004</v>
      </c>
      <c r="L370" t="s">
        <v>4</v>
      </c>
      <c r="M370">
        <v>0</v>
      </c>
      <c r="N370">
        <v>0</v>
      </c>
      <c r="O370">
        <v>0</v>
      </c>
      <c r="P370">
        <v>0.31066700000000003</v>
      </c>
      <c r="Q370">
        <v>0.62133300000000002</v>
      </c>
      <c r="R370">
        <v>0.93200000000000005</v>
      </c>
      <c r="S370">
        <v>0.93200000000000005</v>
      </c>
    </row>
    <row r="371" spans="1:19" x14ac:dyDescent="0.25">
      <c r="A371" t="s">
        <v>2</v>
      </c>
      <c r="B371" t="s">
        <v>88</v>
      </c>
      <c r="C371" t="s">
        <v>89</v>
      </c>
      <c r="D371" t="s">
        <v>3</v>
      </c>
      <c r="E371" t="s">
        <v>385</v>
      </c>
      <c r="F371" t="s">
        <v>386</v>
      </c>
      <c r="G371" t="s">
        <v>378</v>
      </c>
      <c r="H371" t="s">
        <v>92</v>
      </c>
      <c r="J371">
        <v>51.1083</v>
      </c>
      <c r="K371">
        <v>6.8714000000000004</v>
      </c>
      <c r="L371" t="s">
        <v>4</v>
      </c>
      <c r="M371">
        <v>0</v>
      </c>
      <c r="N371">
        <v>0</v>
      </c>
      <c r="O371">
        <v>0</v>
      </c>
      <c r="P371">
        <v>0.26166699999999998</v>
      </c>
      <c r="Q371">
        <v>0.52333300000000005</v>
      </c>
      <c r="R371">
        <v>0.78500000000000003</v>
      </c>
      <c r="S371">
        <v>0.78500000000000003</v>
      </c>
    </row>
    <row r="372" spans="1:19" x14ac:dyDescent="0.25">
      <c r="A372" t="s">
        <v>2</v>
      </c>
      <c r="B372" t="s">
        <v>88</v>
      </c>
      <c r="C372" t="s">
        <v>89</v>
      </c>
      <c r="D372" t="s">
        <v>3</v>
      </c>
      <c r="E372" t="s">
        <v>284</v>
      </c>
      <c r="F372" t="s">
        <v>285</v>
      </c>
      <c r="G372" t="s">
        <v>378</v>
      </c>
      <c r="H372" t="s">
        <v>92</v>
      </c>
      <c r="J372">
        <v>51.105899999999998</v>
      </c>
      <c r="K372">
        <v>6.8810000000000002</v>
      </c>
      <c r="L372" t="s">
        <v>4</v>
      </c>
      <c r="M372">
        <v>0</v>
      </c>
      <c r="N372">
        <v>0</v>
      </c>
      <c r="O372">
        <v>0</v>
      </c>
      <c r="P372">
        <v>0.29199999999999998</v>
      </c>
      <c r="Q372">
        <v>0.58399999999999996</v>
      </c>
      <c r="R372">
        <v>0.876</v>
      </c>
      <c r="S372">
        <v>0.876</v>
      </c>
    </row>
    <row r="373" spans="1:19" x14ac:dyDescent="0.25">
      <c r="A373" t="s">
        <v>2</v>
      </c>
      <c r="B373" t="s">
        <v>88</v>
      </c>
      <c r="C373" t="s">
        <v>89</v>
      </c>
      <c r="D373" t="s">
        <v>3</v>
      </c>
      <c r="E373" t="s">
        <v>284</v>
      </c>
      <c r="F373" t="s">
        <v>285</v>
      </c>
      <c r="G373" t="s">
        <v>376</v>
      </c>
      <c r="H373" t="s">
        <v>92</v>
      </c>
      <c r="J373">
        <v>50.865000000000002</v>
      </c>
      <c r="K373">
        <v>6.9855999999999998</v>
      </c>
      <c r="L373" t="s">
        <v>4</v>
      </c>
      <c r="M373">
        <v>0</v>
      </c>
      <c r="N373">
        <v>0</v>
      </c>
      <c r="O373">
        <v>0</v>
      </c>
      <c r="P373">
        <v>0.30266700000000002</v>
      </c>
      <c r="Q373">
        <v>0.60533300000000001</v>
      </c>
      <c r="R373">
        <v>0.90800000000000003</v>
      </c>
      <c r="S373">
        <v>0.90800000000000003</v>
      </c>
    </row>
    <row r="374" spans="1:19" x14ac:dyDescent="0.25">
      <c r="A374" t="s">
        <v>2</v>
      </c>
      <c r="B374" t="s">
        <v>88</v>
      </c>
      <c r="C374" t="s">
        <v>89</v>
      </c>
      <c r="D374" t="s">
        <v>3</v>
      </c>
      <c r="E374" t="s">
        <v>284</v>
      </c>
      <c r="F374" t="s">
        <v>285</v>
      </c>
      <c r="G374" t="s">
        <v>380</v>
      </c>
      <c r="H374" t="s">
        <v>92</v>
      </c>
      <c r="J374">
        <v>51.105899999999998</v>
      </c>
      <c r="K374">
        <v>6.8810000000000002</v>
      </c>
      <c r="L374" t="s">
        <v>4</v>
      </c>
      <c r="M374">
        <v>0</v>
      </c>
      <c r="N374">
        <v>0</v>
      </c>
      <c r="O374">
        <v>0</v>
      </c>
      <c r="P374">
        <v>0.36199999999999999</v>
      </c>
      <c r="Q374">
        <v>0.72399999999999998</v>
      </c>
      <c r="R374">
        <v>1.0860000000000001</v>
      </c>
      <c r="S374">
        <v>1.0860000000000001</v>
      </c>
    </row>
    <row r="375" spans="1:19" x14ac:dyDescent="0.25">
      <c r="A375" t="s">
        <v>2</v>
      </c>
      <c r="B375" t="s">
        <v>88</v>
      </c>
      <c r="C375" t="s">
        <v>89</v>
      </c>
      <c r="D375" t="s">
        <v>3</v>
      </c>
      <c r="E375" t="s">
        <v>286</v>
      </c>
      <c r="F375" t="s">
        <v>287</v>
      </c>
      <c r="G375" t="s">
        <v>378</v>
      </c>
      <c r="H375" t="s">
        <v>92</v>
      </c>
      <c r="J375">
        <v>51.039900000000003</v>
      </c>
      <c r="K375">
        <v>6.992</v>
      </c>
      <c r="L375" t="s">
        <v>4</v>
      </c>
      <c r="M375">
        <v>0</v>
      </c>
      <c r="N375">
        <v>0</v>
      </c>
      <c r="O375">
        <v>0</v>
      </c>
      <c r="P375">
        <v>0.283333</v>
      </c>
      <c r="Q375">
        <v>0.56666700000000003</v>
      </c>
      <c r="R375">
        <v>0.85</v>
      </c>
      <c r="S375">
        <v>0.85</v>
      </c>
    </row>
    <row r="376" spans="1:19" x14ac:dyDescent="0.25">
      <c r="A376" t="s">
        <v>2</v>
      </c>
      <c r="B376" t="s">
        <v>88</v>
      </c>
      <c r="C376" t="s">
        <v>89</v>
      </c>
      <c r="D376" t="s">
        <v>3</v>
      </c>
      <c r="E376" t="s">
        <v>280</v>
      </c>
      <c r="F376" t="s">
        <v>281</v>
      </c>
      <c r="G376" t="s">
        <v>378</v>
      </c>
      <c r="H376" t="s">
        <v>92</v>
      </c>
      <c r="J376">
        <v>50.832700000000003</v>
      </c>
      <c r="K376">
        <v>6.9635999999999996</v>
      </c>
      <c r="L376" t="s">
        <v>4</v>
      </c>
      <c r="M376">
        <v>0</v>
      </c>
      <c r="N376">
        <v>0</v>
      </c>
      <c r="O376">
        <v>0</v>
      </c>
      <c r="P376">
        <v>0.189667</v>
      </c>
      <c r="Q376">
        <v>0.37933299999999998</v>
      </c>
      <c r="R376">
        <v>0.56899999999999995</v>
      </c>
      <c r="S376">
        <v>0.56899999999999995</v>
      </c>
    </row>
    <row r="377" spans="1:19" x14ac:dyDescent="0.25">
      <c r="A377" t="s">
        <v>2</v>
      </c>
      <c r="B377" t="s">
        <v>88</v>
      </c>
      <c r="C377" t="s">
        <v>89</v>
      </c>
      <c r="D377" t="s">
        <v>3</v>
      </c>
      <c r="E377" t="s">
        <v>280</v>
      </c>
      <c r="F377" t="s">
        <v>281</v>
      </c>
      <c r="G377" t="s">
        <v>376</v>
      </c>
      <c r="H377" t="s">
        <v>92</v>
      </c>
      <c r="J377">
        <v>50.832700000000003</v>
      </c>
      <c r="K377">
        <v>6.9635999999999996</v>
      </c>
      <c r="L377" t="s">
        <v>4</v>
      </c>
      <c r="M377">
        <v>0</v>
      </c>
      <c r="N377">
        <v>0</v>
      </c>
      <c r="O377">
        <v>0</v>
      </c>
      <c r="P377">
        <v>0.49833300000000003</v>
      </c>
      <c r="Q377">
        <v>0.99666699999999997</v>
      </c>
      <c r="R377">
        <v>1.4950000000000001</v>
      </c>
      <c r="S377">
        <v>1.4950000000000001</v>
      </c>
    </row>
    <row r="378" spans="1:19" x14ac:dyDescent="0.25">
      <c r="A378" t="s">
        <v>2</v>
      </c>
      <c r="B378" t="s">
        <v>88</v>
      </c>
      <c r="C378" t="s">
        <v>89</v>
      </c>
      <c r="D378" t="s">
        <v>3</v>
      </c>
      <c r="E378" t="s">
        <v>280</v>
      </c>
      <c r="F378" t="s">
        <v>281</v>
      </c>
      <c r="G378" t="s">
        <v>380</v>
      </c>
      <c r="H378" t="s">
        <v>92</v>
      </c>
      <c r="J378">
        <v>50.832700000000003</v>
      </c>
      <c r="K378">
        <v>6.9635999999999996</v>
      </c>
      <c r="L378" t="s">
        <v>4</v>
      </c>
      <c r="M378">
        <v>0</v>
      </c>
      <c r="N378">
        <v>0</v>
      </c>
      <c r="O378">
        <v>0</v>
      </c>
      <c r="P378">
        <v>0.29799999999999999</v>
      </c>
      <c r="Q378">
        <v>0.59599999999999997</v>
      </c>
      <c r="R378">
        <v>0.89400000000000002</v>
      </c>
      <c r="S378">
        <v>0.89400000000000002</v>
      </c>
    </row>
    <row r="379" spans="1:19" x14ac:dyDescent="0.25">
      <c r="A379" t="s">
        <v>2</v>
      </c>
      <c r="B379" t="s">
        <v>88</v>
      </c>
      <c r="C379" t="s">
        <v>89</v>
      </c>
      <c r="D379" t="s">
        <v>3</v>
      </c>
      <c r="E379" t="s">
        <v>387</v>
      </c>
      <c r="F379" t="s">
        <v>388</v>
      </c>
      <c r="G379" t="s">
        <v>376</v>
      </c>
      <c r="H379" t="s">
        <v>92</v>
      </c>
      <c r="J379">
        <v>51.572071000000001</v>
      </c>
      <c r="K379">
        <v>7.0358150000000004</v>
      </c>
      <c r="L379" t="s">
        <v>4</v>
      </c>
      <c r="M379">
        <v>0</v>
      </c>
      <c r="N379">
        <v>0</v>
      </c>
      <c r="O379">
        <v>0</v>
      </c>
      <c r="P379">
        <v>1.007333</v>
      </c>
      <c r="Q379">
        <v>2.0146670000000002</v>
      </c>
      <c r="R379">
        <v>3.0219999999999998</v>
      </c>
      <c r="S379">
        <v>3.0219999999999998</v>
      </c>
    </row>
    <row r="380" spans="1:19" x14ac:dyDescent="0.25">
      <c r="A380" t="s">
        <v>2</v>
      </c>
      <c r="B380" t="s">
        <v>88</v>
      </c>
      <c r="C380" t="s">
        <v>89</v>
      </c>
      <c r="D380" t="s">
        <v>3</v>
      </c>
      <c r="E380" t="s">
        <v>299</v>
      </c>
      <c r="F380" t="s">
        <v>389</v>
      </c>
      <c r="G380" t="s">
        <v>378</v>
      </c>
      <c r="H380" t="s">
        <v>92</v>
      </c>
      <c r="J380">
        <v>51.664999999999999</v>
      </c>
      <c r="K380">
        <v>7.1311</v>
      </c>
      <c r="L380" t="s">
        <v>4</v>
      </c>
      <c r="M380">
        <v>0</v>
      </c>
      <c r="N380">
        <v>0</v>
      </c>
      <c r="O380">
        <v>0</v>
      </c>
      <c r="P380">
        <v>0.39066699999999999</v>
      </c>
      <c r="Q380">
        <v>0.78133300000000006</v>
      </c>
      <c r="R380">
        <v>1.1719999999999999</v>
      </c>
      <c r="S380">
        <v>1.1719999999999999</v>
      </c>
    </row>
    <row r="381" spans="1:19" x14ac:dyDescent="0.25">
      <c r="A381" t="s">
        <v>2</v>
      </c>
      <c r="B381" t="s">
        <v>88</v>
      </c>
      <c r="C381" t="s">
        <v>89</v>
      </c>
      <c r="D381" t="s">
        <v>3</v>
      </c>
      <c r="E381" t="s">
        <v>242</v>
      </c>
      <c r="F381" t="s">
        <v>243</v>
      </c>
      <c r="G381" t="s">
        <v>378</v>
      </c>
      <c r="H381" t="s">
        <v>92</v>
      </c>
      <c r="J381">
        <v>49.508099999999999</v>
      </c>
      <c r="K381">
        <v>8.4046000000000003</v>
      </c>
      <c r="L381" t="s">
        <v>4</v>
      </c>
      <c r="M381">
        <v>0</v>
      </c>
      <c r="N381">
        <v>0</v>
      </c>
      <c r="O381">
        <v>0</v>
      </c>
      <c r="P381">
        <v>1.2829999999999999</v>
      </c>
      <c r="Q381">
        <v>2.5659999999999998</v>
      </c>
      <c r="R381">
        <v>3.8490000000000002</v>
      </c>
      <c r="S381">
        <v>3.8490000000000002</v>
      </c>
    </row>
    <row r="382" spans="1:19" x14ac:dyDescent="0.25">
      <c r="A382" t="s">
        <v>2</v>
      </c>
      <c r="B382" t="s">
        <v>88</v>
      </c>
      <c r="C382" t="s">
        <v>89</v>
      </c>
      <c r="D382" t="s">
        <v>3</v>
      </c>
      <c r="E382" t="s">
        <v>242</v>
      </c>
      <c r="F382" t="s">
        <v>243</v>
      </c>
      <c r="G382" t="s">
        <v>380</v>
      </c>
      <c r="H382" t="s">
        <v>92</v>
      </c>
      <c r="J382">
        <v>49.508099999999999</v>
      </c>
      <c r="K382">
        <v>8.4046000000000003</v>
      </c>
      <c r="L382" t="s">
        <v>4</v>
      </c>
      <c r="M382">
        <v>0</v>
      </c>
      <c r="N382">
        <v>0</v>
      </c>
      <c r="O382">
        <v>0</v>
      </c>
      <c r="P382">
        <v>0.190333</v>
      </c>
      <c r="Q382">
        <v>0.38066699999999998</v>
      </c>
      <c r="R382">
        <v>0.57099999999999995</v>
      </c>
      <c r="S382">
        <v>0.57099999999999995</v>
      </c>
    </row>
    <row r="383" spans="1:19" x14ac:dyDescent="0.25">
      <c r="A383" t="s">
        <v>2</v>
      </c>
      <c r="B383" t="s">
        <v>88</v>
      </c>
      <c r="C383" t="s">
        <v>89</v>
      </c>
      <c r="D383" t="s">
        <v>3</v>
      </c>
      <c r="E383" t="s">
        <v>390</v>
      </c>
      <c r="F383" t="s">
        <v>391</v>
      </c>
      <c r="G383" t="s">
        <v>380</v>
      </c>
      <c r="H383" t="s">
        <v>92</v>
      </c>
      <c r="J383">
        <v>51.207000000000001</v>
      </c>
      <c r="K383">
        <v>12.391</v>
      </c>
      <c r="L383" t="s">
        <v>4</v>
      </c>
      <c r="M383">
        <v>0</v>
      </c>
      <c r="N383">
        <v>0</v>
      </c>
      <c r="O383">
        <v>0</v>
      </c>
      <c r="P383">
        <v>0.27066699999999999</v>
      </c>
      <c r="Q383">
        <v>0.54133299999999995</v>
      </c>
      <c r="R383">
        <v>0.81200000000000006</v>
      </c>
      <c r="S383">
        <v>0.81200000000000006</v>
      </c>
    </row>
    <row r="384" spans="1:19" x14ac:dyDescent="0.25">
      <c r="A384" t="s">
        <v>2</v>
      </c>
      <c r="B384" t="s">
        <v>88</v>
      </c>
      <c r="C384" t="s">
        <v>89</v>
      </c>
      <c r="D384" t="s">
        <v>3</v>
      </c>
      <c r="E384" t="s">
        <v>322</v>
      </c>
      <c r="F384" t="s">
        <v>323</v>
      </c>
      <c r="G384" t="s">
        <v>378</v>
      </c>
      <c r="H384" t="s">
        <v>92</v>
      </c>
      <c r="J384">
        <v>51.317900000000002</v>
      </c>
      <c r="K384">
        <v>12.005000000000001</v>
      </c>
      <c r="L384" t="s">
        <v>4</v>
      </c>
      <c r="M384">
        <v>0</v>
      </c>
      <c r="N384">
        <v>0</v>
      </c>
      <c r="O384">
        <v>0</v>
      </c>
      <c r="P384">
        <v>0.526667</v>
      </c>
      <c r="Q384">
        <v>1.0533330000000001</v>
      </c>
      <c r="R384">
        <v>1.58</v>
      </c>
      <c r="S384">
        <v>1.58</v>
      </c>
    </row>
    <row r="385" spans="1:19" x14ac:dyDescent="0.25">
      <c r="A385" t="s">
        <v>2</v>
      </c>
      <c r="B385" t="s">
        <v>88</v>
      </c>
      <c r="C385" t="s">
        <v>89</v>
      </c>
      <c r="D385" t="s">
        <v>3</v>
      </c>
      <c r="E385" t="s">
        <v>322</v>
      </c>
      <c r="F385" t="s">
        <v>323</v>
      </c>
      <c r="G385" t="s">
        <v>376</v>
      </c>
      <c r="H385" t="s">
        <v>92</v>
      </c>
      <c r="J385">
        <v>51.317900000000002</v>
      </c>
      <c r="K385">
        <v>12.005000000000001</v>
      </c>
      <c r="L385" t="s">
        <v>4</v>
      </c>
      <c r="M385">
        <v>0</v>
      </c>
      <c r="N385">
        <v>0</v>
      </c>
      <c r="O385">
        <v>0</v>
      </c>
      <c r="P385">
        <v>0.42433300000000002</v>
      </c>
      <c r="Q385">
        <v>0.84866699999999995</v>
      </c>
      <c r="R385">
        <v>1.2729999999999999</v>
      </c>
      <c r="S385">
        <v>1.2729999999999999</v>
      </c>
    </row>
    <row r="386" spans="1:19" x14ac:dyDescent="0.25">
      <c r="A386" t="s">
        <v>2</v>
      </c>
      <c r="B386" t="s">
        <v>88</v>
      </c>
      <c r="C386" t="s">
        <v>89</v>
      </c>
      <c r="D386" t="s">
        <v>3</v>
      </c>
      <c r="E386" t="s">
        <v>392</v>
      </c>
      <c r="F386" t="s">
        <v>393</v>
      </c>
      <c r="G386" t="s">
        <v>378</v>
      </c>
      <c r="H386" t="s">
        <v>92</v>
      </c>
      <c r="J386">
        <v>53.901299999999999</v>
      </c>
      <c r="K386">
        <v>9.1219000000000001</v>
      </c>
      <c r="L386" t="s">
        <v>4</v>
      </c>
      <c r="M386">
        <v>0</v>
      </c>
      <c r="N386">
        <v>0</v>
      </c>
      <c r="O386">
        <v>0</v>
      </c>
      <c r="P386">
        <v>9.2999999999999999E-2</v>
      </c>
      <c r="Q386">
        <v>0.186</v>
      </c>
      <c r="R386">
        <v>0.27900000000000003</v>
      </c>
      <c r="S386">
        <v>0.27900000000000003</v>
      </c>
    </row>
    <row r="387" spans="1:19" x14ac:dyDescent="0.25">
      <c r="A387" t="s">
        <v>2</v>
      </c>
      <c r="B387" t="s">
        <v>88</v>
      </c>
      <c r="C387" t="s">
        <v>89</v>
      </c>
      <c r="D387" t="s">
        <v>3</v>
      </c>
      <c r="E387" t="s">
        <v>392</v>
      </c>
      <c r="F387" t="s">
        <v>393</v>
      </c>
      <c r="G387" t="s">
        <v>376</v>
      </c>
      <c r="H387" t="s">
        <v>92</v>
      </c>
      <c r="J387">
        <v>53.983279000000003</v>
      </c>
      <c r="K387">
        <v>9.0984610000000004</v>
      </c>
      <c r="L387" t="s">
        <v>4</v>
      </c>
      <c r="M387">
        <v>0</v>
      </c>
      <c r="N387">
        <v>0</v>
      </c>
      <c r="O387">
        <v>0</v>
      </c>
      <c r="P387">
        <v>0.62866699999999998</v>
      </c>
      <c r="Q387">
        <v>1.257333</v>
      </c>
      <c r="R387">
        <v>1.8859999999999999</v>
      </c>
      <c r="S387">
        <v>1.8859999999999999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B9F2-43C6-4680-BB06-6DBAEF8D6B1D}">
  <sheetPr>
    <tabColor theme="9"/>
  </sheetPr>
  <dimension ref="A1:I65"/>
  <sheetViews>
    <sheetView tabSelected="1" zoomScaleNormal="100" workbookViewId="0">
      <selection activeCell="L30" sqref="L30"/>
    </sheetView>
  </sheetViews>
  <sheetFormatPr baseColWidth="10" defaultRowHeight="15" x14ac:dyDescent="0.25"/>
  <cols>
    <col min="1" max="1" width="30.28515625" bestFit="1" customWidth="1"/>
    <col min="2" max="7" width="15.85546875" bestFit="1" customWidth="1"/>
    <col min="8" max="8" width="16" bestFit="1" customWidth="1"/>
    <col min="9" max="9" width="7" bestFit="1" customWidth="1"/>
    <col min="10" max="13" width="12" bestFit="1" customWidth="1"/>
    <col min="14" max="14" width="6.28515625" bestFit="1" customWidth="1"/>
    <col min="15" max="15" width="12" bestFit="1" customWidth="1"/>
    <col min="16" max="20" width="6.28515625" bestFit="1" customWidth="1"/>
    <col min="21" max="21" width="6" bestFit="1" customWidth="1"/>
    <col min="22" max="27" width="12" bestFit="1" customWidth="1"/>
    <col min="28" max="29" width="6.28515625" bestFit="1" customWidth="1"/>
    <col min="30" max="30" width="12" bestFit="1" customWidth="1"/>
    <col min="31" max="31" width="6.28515625" bestFit="1" customWidth="1"/>
    <col min="32" max="32" width="12" bestFit="1" customWidth="1"/>
    <col min="33" max="34" width="6.28515625" bestFit="1" customWidth="1"/>
    <col min="35" max="37" width="12" bestFit="1" customWidth="1"/>
    <col min="38" max="39" width="6.28515625" bestFit="1" customWidth="1"/>
    <col min="40" max="40" width="12" bestFit="1" customWidth="1"/>
    <col min="41" max="41" width="6.28515625" bestFit="1" customWidth="1"/>
    <col min="42" max="42" width="12" bestFit="1" customWidth="1"/>
    <col min="43" max="43" width="6.28515625" bestFit="1" customWidth="1"/>
    <col min="44" max="44" width="12" bestFit="1" customWidth="1"/>
    <col min="45" max="45" width="6.42578125" bestFit="1" customWidth="1"/>
    <col min="46" max="46" width="12" bestFit="1" customWidth="1"/>
    <col min="47" max="47" width="6.7109375" bestFit="1" customWidth="1"/>
    <col min="48" max="48" width="5.85546875" bestFit="1" customWidth="1"/>
    <col min="49" max="53" width="6.28515625" bestFit="1" customWidth="1"/>
    <col min="54" max="54" width="12" bestFit="1" customWidth="1"/>
    <col min="55" max="55" width="6.42578125" bestFit="1" customWidth="1"/>
    <col min="56" max="56" width="6.28515625" bestFit="1" customWidth="1"/>
    <col min="57" max="57" width="12" bestFit="1" customWidth="1"/>
    <col min="58" max="58" width="6.28515625" bestFit="1" customWidth="1"/>
    <col min="59" max="59" width="12" bestFit="1" customWidth="1"/>
    <col min="60" max="60" width="6.28515625" bestFit="1" customWidth="1"/>
    <col min="61" max="62" width="12" bestFit="1" customWidth="1"/>
    <col min="63" max="63" width="6.28515625" bestFit="1" customWidth="1"/>
    <col min="64" max="64" width="6" bestFit="1" customWidth="1"/>
    <col min="65" max="65" width="12" bestFit="1" customWidth="1"/>
    <col min="66" max="66" width="6.7109375" bestFit="1" customWidth="1"/>
    <col min="67" max="67" width="6.28515625" bestFit="1" customWidth="1"/>
    <col min="68" max="68" width="12" bestFit="1" customWidth="1"/>
    <col min="69" max="69" width="6.28515625" bestFit="1" customWidth="1"/>
    <col min="70" max="75" width="12" bestFit="1" customWidth="1"/>
    <col min="76" max="76" width="6.28515625" bestFit="1" customWidth="1"/>
    <col min="77" max="77" width="12" bestFit="1" customWidth="1"/>
    <col min="78" max="78" width="6.28515625" bestFit="1" customWidth="1"/>
    <col min="79" max="80" width="6.42578125" bestFit="1" customWidth="1"/>
    <col min="81" max="81" width="6.7109375" bestFit="1" customWidth="1"/>
    <col min="82" max="87" width="6.5703125" bestFit="1" customWidth="1"/>
    <col min="88" max="90" width="12" bestFit="1" customWidth="1"/>
    <col min="91" max="91" width="6.85546875" bestFit="1" customWidth="1"/>
    <col min="92" max="95" width="6.5703125" bestFit="1" customWidth="1"/>
    <col min="96" max="96" width="12" bestFit="1" customWidth="1"/>
    <col min="97" max="97" width="6.5703125" bestFit="1" customWidth="1"/>
    <col min="98" max="98" width="12" bestFit="1" customWidth="1"/>
    <col min="99" max="99" width="6.85546875" bestFit="1" customWidth="1"/>
    <col min="100" max="101" width="6.5703125" bestFit="1" customWidth="1"/>
    <col min="102" max="103" width="12" bestFit="1" customWidth="1"/>
    <col min="104" max="104" width="6.5703125" bestFit="1" customWidth="1"/>
    <col min="105" max="107" width="12" bestFit="1" customWidth="1"/>
    <col min="108" max="108" width="6.5703125" bestFit="1" customWidth="1"/>
    <col min="109" max="109" width="12" bestFit="1" customWidth="1"/>
    <col min="110" max="111" width="6.5703125" bestFit="1" customWidth="1"/>
    <col min="112" max="115" width="12" bestFit="1" customWidth="1"/>
    <col min="116" max="116" width="6.42578125" bestFit="1" customWidth="1"/>
    <col min="117" max="118" width="12" bestFit="1" customWidth="1"/>
    <col min="119" max="120" width="6.42578125" bestFit="1" customWidth="1"/>
    <col min="121" max="122" width="12" bestFit="1" customWidth="1"/>
    <col min="123" max="123" width="6.42578125" bestFit="1" customWidth="1"/>
    <col min="124" max="124" width="7" bestFit="1" customWidth="1"/>
    <col min="125" max="125" width="6.42578125" bestFit="1" customWidth="1"/>
    <col min="126" max="126" width="7" bestFit="1" customWidth="1"/>
    <col min="127" max="127" width="6.42578125" bestFit="1" customWidth="1"/>
    <col min="128" max="128" width="6.7109375" bestFit="1" customWidth="1"/>
    <col min="129" max="129" width="6.5703125" bestFit="1" customWidth="1"/>
    <col min="130" max="131" width="6.28515625" bestFit="1" customWidth="1"/>
    <col min="132" max="134" width="12" bestFit="1" customWidth="1"/>
    <col min="135" max="135" width="6.5703125" bestFit="1" customWidth="1"/>
    <col min="136" max="136" width="6.42578125" bestFit="1" customWidth="1"/>
    <col min="137" max="137" width="12" bestFit="1" customWidth="1"/>
    <col min="138" max="142" width="6.28515625" bestFit="1" customWidth="1"/>
    <col min="143" max="143" width="12" bestFit="1" customWidth="1"/>
    <col min="144" max="144" width="6.28515625" bestFit="1" customWidth="1"/>
    <col min="145" max="146" width="6.7109375" bestFit="1" customWidth="1"/>
    <col min="147" max="147" width="12" bestFit="1" customWidth="1"/>
    <col min="148" max="148" width="6.28515625" bestFit="1" customWidth="1"/>
    <col min="149" max="149" width="12" bestFit="1" customWidth="1"/>
    <col min="150" max="150" width="6.28515625" bestFit="1" customWidth="1"/>
    <col min="151" max="151" width="15.85546875" bestFit="1" customWidth="1"/>
    <col min="152" max="155" width="12" bestFit="1" customWidth="1"/>
    <col min="156" max="156" width="6.28515625" bestFit="1" customWidth="1"/>
    <col min="157" max="169" width="12" bestFit="1" customWidth="1"/>
    <col min="170" max="170" width="6" bestFit="1" customWidth="1"/>
    <col min="171" max="215" width="12" bestFit="1" customWidth="1"/>
    <col min="216" max="216" width="6.28515625" bestFit="1" customWidth="1"/>
    <col min="217" max="224" width="12" bestFit="1" customWidth="1"/>
    <col min="225" max="225" width="6.28515625" bestFit="1" customWidth="1"/>
    <col min="226" max="231" width="12" bestFit="1" customWidth="1"/>
    <col min="232" max="232" width="6.5703125" bestFit="1" customWidth="1"/>
    <col min="233" max="239" width="12" bestFit="1" customWidth="1"/>
    <col min="240" max="240" width="6.85546875" bestFit="1" customWidth="1"/>
    <col min="241" max="248" width="12" bestFit="1" customWidth="1"/>
    <col min="249" max="249" width="6.5703125" bestFit="1" customWidth="1"/>
    <col min="250" max="275" width="12" bestFit="1" customWidth="1"/>
    <col min="276" max="276" width="6.42578125" bestFit="1" customWidth="1"/>
    <col min="277" max="277" width="12" bestFit="1" customWidth="1"/>
    <col min="278" max="278" width="6.5703125" bestFit="1" customWidth="1"/>
    <col min="279" max="288" width="12" bestFit="1" customWidth="1"/>
    <col min="289" max="289" width="6.28515625" bestFit="1" customWidth="1"/>
    <col min="290" max="298" width="12" bestFit="1" customWidth="1"/>
    <col min="299" max="299" width="6.28515625" bestFit="1" customWidth="1"/>
    <col min="300" max="300" width="15.85546875" bestFit="1" customWidth="1"/>
    <col min="301" max="304" width="12" bestFit="1" customWidth="1"/>
    <col min="305" max="305" width="6.28515625" bestFit="1" customWidth="1"/>
    <col min="306" max="318" width="12" bestFit="1" customWidth="1"/>
    <col min="319" max="319" width="6" bestFit="1" customWidth="1"/>
    <col min="320" max="364" width="12" bestFit="1" customWidth="1"/>
    <col min="365" max="365" width="6.28515625" bestFit="1" customWidth="1"/>
    <col min="366" max="373" width="12" bestFit="1" customWidth="1"/>
    <col min="374" max="374" width="6.28515625" bestFit="1" customWidth="1"/>
    <col min="375" max="380" width="12" bestFit="1" customWidth="1"/>
    <col min="381" max="381" width="6.5703125" bestFit="1" customWidth="1"/>
    <col min="382" max="388" width="12" bestFit="1" customWidth="1"/>
    <col min="389" max="389" width="6.85546875" bestFit="1" customWidth="1"/>
    <col min="390" max="397" width="12" bestFit="1" customWidth="1"/>
    <col min="398" max="398" width="6.5703125" bestFit="1" customWidth="1"/>
    <col min="399" max="424" width="12" bestFit="1" customWidth="1"/>
    <col min="425" max="425" width="6.42578125" bestFit="1" customWidth="1"/>
    <col min="426" max="426" width="12" bestFit="1" customWidth="1"/>
    <col min="427" max="427" width="6.5703125" bestFit="1" customWidth="1"/>
    <col min="428" max="428" width="12" bestFit="1" customWidth="1"/>
    <col min="429" max="429" width="11" bestFit="1" customWidth="1"/>
    <col min="430" max="437" width="12" bestFit="1" customWidth="1"/>
    <col min="438" max="438" width="6.28515625" bestFit="1" customWidth="1"/>
    <col min="439" max="447" width="12" bestFit="1" customWidth="1"/>
    <col min="448" max="448" width="6.28515625" bestFit="1" customWidth="1"/>
    <col min="449" max="449" width="15.85546875" bestFit="1" customWidth="1"/>
    <col min="450" max="453" width="12" bestFit="1" customWidth="1"/>
    <col min="454" max="454" width="9" bestFit="1" customWidth="1"/>
    <col min="455" max="467" width="12" bestFit="1" customWidth="1"/>
    <col min="468" max="468" width="9" bestFit="1" customWidth="1"/>
    <col min="469" max="496" width="12" bestFit="1" customWidth="1"/>
    <col min="497" max="497" width="11" bestFit="1" customWidth="1"/>
    <col min="498" max="513" width="12" bestFit="1" customWidth="1"/>
    <col min="514" max="514" width="9" bestFit="1" customWidth="1"/>
    <col min="515" max="522" width="12" bestFit="1" customWidth="1"/>
    <col min="523" max="523" width="9" bestFit="1" customWidth="1"/>
    <col min="524" max="529" width="12" bestFit="1" customWidth="1"/>
    <col min="530" max="530" width="9" bestFit="1" customWidth="1"/>
    <col min="531" max="537" width="12" bestFit="1" customWidth="1"/>
    <col min="538" max="538" width="9" bestFit="1" customWidth="1"/>
    <col min="539" max="546" width="12" bestFit="1" customWidth="1"/>
    <col min="547" max="547" width="9" bestFit="1" customWidth="1"/>
    <col min="548" max="573" width="12" bestFit="1" customWidth="1"/>
    <col min="574" max="574" width="7" bestFit="1" customWidth="1"/>
    <col min="575" max="575" width="12" bestFit="1" customWidth="1"/>
    <col min="576" max="576" width="9" bestFit="1" customWidth="1"/>
    <col min="577" max="586" width="12" bestFit="1" customWidth="1"/>
    <col min="587" max="587" width="9" bestFit="1" customWidth="1"/>
    <col min="588" max="596" width="12" bestFit="1" customWidth="1"/>
    <col min="597" max="597" width="9" bestFit="1" customWidth="1"/>
    <col min="598" max="598" width="15.85546875" bestFit="1" customWidth="1"/>
    <col min="599" max="602" width="12" bestFit="1" customWidth="1"/>
    <col min="603" max="603" width="9" bestFit="1" customWidth="1"/>
    <col min="604" max="616" width="12" bestFit="1" customWidth="1"/>
    <col min="617" max="617" width="8" bestFit="1" customWidth="1"/>
    <col min="618" max="662" width="12" bestFit="1" customWidth="1"/>
    <col min="663" max="663" width="9" bestFit="1" customWidth="1"/>
    <col min="664" max="671" width="12" bestFit="1" customWidth="1"/>
    <col min="672" max="672" width="9" bestFit="1" customWidth="1"/>
    <col min="673" max="678" width="12" bestFit="1" customWidth="1"/>
    <col min="679" max="679" width="10" bestFit="1" customWidth="1"/>
    <col min="680" max="686" width="12" bestFit="1" customWidth="1"/>
    <col min="687" max="687" width="9" bestFit="1" customWidth="1"/>
    <col min="688" max="695" width="12" bestFit="1" customWidth="1"/>
    <col min="696" max="696" width="9" bestFit="1" customWidth="1"/>
    <col min="697" max="722" width="12" bestFit="1" customWidth="1"/>
    <col min="723" max="723" width="7" bestFit="1" customWidth="1"/>
    <col min="724" max="724" width="12" bestFit="1" customWidth="1"/>
    <col min="725" max="725" width="9" bestFit="1" customWidth="1"/>
    <col min="726" max="735" width="12" bestFit="1" customWidth="1"/>
    <col min="736" max="736" width="9" bestFit="1" customWidth="1"/>
    <col min="737" max="745" width="12" bestFit="1" customWidth="1"/>
    <col min="746" max="746" width="9" bestFit="1" customWidth="1"/>
    <col min="747" max="747" width="15.85546875" bestFit="1" customWidth="1"/>
    <col min="748" max="751" width="12" bestFit="1" customWidth="1"/>
    <col min="752" max="752" width="9" bestFit="1" customWidth="1"/>
    <col min="753" max="754" width="12" bestFit="1" customWidth="1"/>
    <col min="755" max="755" width="11" bestFit="1" customWidth="1"/>
    <col min="756" max="765" width="12" bestFit="1" customWidth="1"/>
    <col min="766" max="766" width="9" bestFit="1" customWidth="1"/>
    <col min="767" max="811" width="12" bestFit="1" customWidth="1"/>
    <col min="812" max="812" width="9" bestFit="1" customWidth="1"/>
    <col min="813" max="820" width="12" bestFit="1" customWidth="1"/>
    <col min="821" max="821" width="6.28515625" bestFit="1" customWidth="1"/>
    <col min="822" max="827" width="12" bestFit="1" customWidth="1"/>
    <col min="828" max="828" width="10" bestFit="1" customWidth="1"/>
    <col min="829" max="835" width="12" bestFit="1" customWidth="1"/>
    <col min="836" max="836" width="6.85546875" bestFit="1" customWidth="1"/>
    <col min="837" max="844" width="12" bestFit="1" customWidth="1"/>
    <col min="845" max="845" width="6.5703125" bestFit="1" customWidth="1"/>
    <col min="846" max="871" width="12" bestFit="1" customWidth="1"/>
    <col min="872" max="872" width="7" bestFit="1" customWidth="1"/>
    <col min="873" max="873" width="12" bestFit="1" customWidth="1"/>
    <col min="874" max="874" width="6.5703125" bestFit="1" customWidth="1"/>
    <col min="875" max="884" width="12" bestFit="1" customWidth="1"/>
    <col min="885" max="885" width="6.28515625" bestFit="1" customWidth="1"/>
    <col min="886" max="894" width="12" bestFit="1" customWidth="1"/>
    <col min="895" max="895" width="6.28515625" bestFit="1" customWidth="1"/>
    <col min="896" max="896" width="15.85546875" bestFit="1" customWidth="1"/>
    <col min="897" max="900" width="12" bestFit="1" customWidth="1"/>
    <col min="901" max="901" width="9" bestFit="1" customWidth="1"/>
    <col min="902" max="903" width="12" bestFit="1" customWidth="1"/>
    <col min="904" max="904" width="11" bestFit="1" customWidth="1"/>
    <col min="905" max="914" width="12" bestFit="1" customWidth="1"/>
    <col min="915" max="915" width="9" bestFit="1" customWidth="1"/>
    <col min="916" max="960" width="12" bestFit="1" customWidth="1"/>
    <col min="961" max="961" width="9" bestFit="1" customWidth="1"/>
    <col min="962" max="969" width="12" bestFit="1" customWidth="1"/>
    <col min="970" max="970" width="6.28515625" bestFit="1" customWidth="1"/>
    <col min="971" max="976" width="12" bestFit="1" customWidth="1"/>
    <col min="977" max="977" width="10" bestFit="1" customWidth="1"/>
    <col min="978" max="984" width="12" bestFit="1" customWidth="1"/>
    <col min="985" max="985" width="6.85546875" bestFit="1" customWidth="1"/>
    <col min="986" max="993" width="12" bestFit="1" customWidth="1"/>
    <col min="994" max="994" width="6.5703125" bestFit="1" customWidth="1"/>
    <col min="995" max="1020" width="12" bestFit="1" customWidth="1"/>
    <col min="1021" max="1021" width="7" bestFit="1" customWidth="1"/>
    <col min="1022" max="1022" width="12" bestFit="1" customWidth="1"/>
    <col min="1023" max="1023" width="6.5703125" bestFit="1" customWidth="1"/>
    <col min="1024" max="1033" width="12" bestFit="1" customWidth="1"/>
    <col min="1034" max="1034" width="6.28515625" bestFit="1" customWidth="1"/>
    <col min="1035" max="1043" width="12" bestFit="1" customWidth="1"/>
    <col min="1044" max="1044" width="6.28515625" bestFit="1" customWidth="1"/>
    <col min="1045" max="1051" width="24" bestFit="1" customWidth="1"/>
  </cols>
  <sheetData>
    <row r="1" spans="1:7" x14ac:dyDescent="0.25">
      <c r="A1" s="101" t="s">
        <v>82</v>
      </c>
      <c r="B1" t="s">
        <v>403</v>
      </c>
    </row>
    <row r="3" spans="1:7" ht="29.25" customHeight="1" x14ac:dyDescent="0.25">
      <c r="A3" s="101" t="s">
        <v>396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</row>
    <row r="4" spans="1:7" x14ac:dyDescent="0.25">
      <c r="A4" s="102" t="s">
        <v>2</v>
      </c>
      <c r="B4" s="121">
        <v>17.641863053999998</v>
      </c>
      <c r="C4" s="121">
        <v>19.587613212000001</v>
      </c>
      <c r="D4" s="121">
        <v>44.619685709000002</v>
      </c>
      <c r="E4" s="121">
        <v>67.082671227999995</v>
      </c>
      <c r="F4" s="121">
        <v>90.546978807399995</v>
      </c>
      <c r="G4" s="121">
        <v>90.546978807399995</v>
      </c>
    </row>
    <row r="5" spans="1:7" x14ac:dyDescent="0.25">
      <c r="A5" s="103" t="s">
        <v>6</v>
      </c>
      <c r="B5" s="121">
        <v>13.548368380999998</v>
      </c>
      <c r="C5" s="121">
        <v>11.930371541999998</v>
      </c>
      <c r="D5" s="121">
        <v>12.866591305000002</v>
      </c>
      <c r="E5" s="121">
        <v>11.769628456999998</v>
      </c>
      <c r="F5" s="121">
        <v>10.766591305000002</v>
      </c>
      <c r="G5" s="121">
        <v>10.766591305000002</v>
      </c>
    </row>
    <row r="6" spans="1:7" x14ac:dyDescent="0.25">
      <c r="A6" s="103" t="s">
        <v>378</v>
      </c>
      <c r="B6" s="121">
        <v>0</v>
      </c>
      <c r="C6" s="121">
        <v>0</v>
      </c>
      <c r="D6" s="121">
        <v>4.5240010000000002</v>
      </c>
      <c r="E6" s="121">
        <v>9.047998999999999</v>
      </c>
      <c r="F6" s="121">
        <v>13.572000000000001</v>
      </c>
      <c r="G6" s="121">
        <v>13.572000000000001</v>
      </c>
    </row>
    <row r="7" spans="1:7" x14ac:dyDescent="0.25">
      <c r="A7" s="103" t="s">
        <v>367</v>
      </c>
      <c r="B7" s="121">
        <v>0</v>
      </c>
      <c r="C7" s="121">
        <v>0</v>
      </c>
      <c r="D7" s="121">
        <v>8.4261669999999995</v>
      </c>
      <c r="E7" s="121">
        <v>16.852332999999998</v>
      </c>
      <c r="F7" s="121">
        <v>25.278500000000001</v>
      </c>
      <c r="G7" s="121">
        <v>25.278500000000001</v>
      </c>
    </row>
    <row r="8" spans="1:7" x14ac:dyDescent="0.25">
      <c r="A8" s="125" t="s">
        <v>139</v>
      </c>
      <c r="B8" s="125">
        <v>3.4999999980000012</v>
      </c>
      <c r="C8" s="125">
        <v>4.2000000010000003</v>
      </c>
      <c r="D8" s="125">
        <v>3.4999999980000012</v>
      </c>
      <c r="E8" s="125">
        <v>3.2000000020000008</v>
      </c>
      <c r="F8" s="125">
        <v>3.000000001400001</v>
      </c>
      <c r="G8" s="125">
        <v>3.000000001400001</v>
      </c>
    </row>
    <row r="9" spans="1:7" x14ac:dyDescent="0.25">
      <c r="A9" s="103" t="s">
        <v>7</v>
      </c>
      <c r="B9" s="121">
        <v>0.59349467499999997</v>
      </c>
      <c r="C9" s="121">
        <v>3.4572416690000005</v>
      </c>
      <c r="D9" s="121">
        <v>8.4705924060000015</v>
      </c>
      <c r="E9" s="121">
        <v>12.548044769000002</v>
      </c>
      <c r="F9" s="121">
        <v>17.432887501</v>
      </c>
      <c r="G9" s="121">
        <v>17.432887501</v>
      </c>
    </row>
    <row r="10" spans="1:7" x14ac:dyDescent="0.25">
      <c r="A10" s="103" t="s">
        <v>376</v>
      </c>
      <c r="B10" s="121">
        <v>0</v>
      </c>
      <c r="C10" s="121">
        <v>0</v>
      </c>
      <c r="D10" s="121">
        <v>5.5986669999999998</v>
      </c>
      <c r="E10" s="121">
        <v>11.197333</v>
      </c>
      <c r="F10" s="121">
        <v>16.795999999999999</v>
      </c>
      <c r="G10" s="121">
        <v>16.795999999999999</v>
      </c>
    </row>
    <row r="11" spans="1:7" x14ac:dyDescent="0.25">
      <c r="A11" s="103" t="s">
        <v>380</v>
      </c>
      <c r="B11" s="121">
        <v>0</v>
      </c>
      <c r="C11" s="121">
        <v>0</v>
      </c>
      <c r="D11" s="121">
        <v>1.2336670000000001</v>
      </c>
      <c r="E11" s="121">
        <v>2.4673329999999996</v>
      </c>
      <c r="F11" s="121">
        <v>3.7010000000000005</v>
      </c>
      <c r="G11" s="121">
        <v>3.7010000000000005</v>
      </c>
    </row>
    <row r="12" spans="1:7" x14ac:dyDescent="0.25">
      <c r="A12" s="102" t="s">
        <v>5</v>
      </c>
      <c r="B12" s="121">
        <v>17.641863053999998</v>
      </c>
      <c r="C12" s="121">
        <v>19.587613212000001</v>
      </c>
      <c r="D12" s="121">
        <v>24.837183709000005</v>
      </c>
      <c r="E12" s="121">
        <v>27.517673227000003</v>
      </c>
      <c r="F12" s="121">
        <v>31.199478769000002</v>
      </c>
      <c r="G12" s="121">
        <v>31.199478769000002</v>
      </c>
    </row>
    <row r="13" spans="1:7" x14ac:dyDescent="0.25">
      <c r="A13" s="103" t="s">
        <v>6</v>
      </c>
      <c r="B13" s="121">
        <v>13.548368380999998</v>
      </c>
      <c r="C13" s="121">
        <v>11.930371541999998</v>
      </c>
      <c r="D13" s="121">
        <v>12.866591305000002</v>
      </c>
      <c r="E13" s="121">
        <v>11.769628456999998</v>
      </c>
      <c r="F13" s="121">
        <v>10.766591305000002</v>
      </c>
      <c r="G13" s="121">
        <v>10.766591305000002</v>
      </c>
    </row>
    <row r="14" spans="1:7" x14ac:dyDescent="0.25">
      <c r="A14" s="125" t="s">
        <v>139</v>
      </c>
      <c r="B14" s="125">
        <v>3.4999999980000012</v>
      </c>
      <c r="C14" s="125">
        <v>4.2000000010000003</v>
      </c>
      <c r="D14" s="125">
        <v>3.4999999980000012</v>
      </c>
      <c r="E14" s="125">
        <v>3.2000000010000007</v>
      </c>
      <c r="F14" s="125">
        <v>2.9999999630000005</v>
      </c>
      <c r="G14" s="125">
        <v>2.9999999630000005</v>
      </c>
    </row>
    <row r="15" spans="1:7" x14ac:dyDescent="0.25">
      <c r="A15" s="103" t="s">
        <v>7</v>
      </c>
      <c r="B15" s="121">
        <v>0.59349467499999997</v>
      </c>
      <c r="C15" s="121">
        <v>3.4572416690000005</v>
      </c>
      <c r="D15" s="121">
        <v>8.4705924060000015</v>
      </c>
      <c r="E15" s="121">
        <v>12.548044769000002</v>
      </c>
      <c r="F15" s="121">
        <v>17.432887501</v>
      </c>
      <c r="G15" s="121">
        <v>17.432887501</v>
      </c>
    </row>
    <row r="16" spans="1:7" x14ac:dyDescent="0.25">
      <c r="A16" s="102" t="s">
        <v>394</v>
      </c>
      <c r="B16" s="121"/>
      <c r="C16" s="121"/>
      <c r="D16" s="121"/>
      <c r="E16" s="121"/>
      <c r="F16" s="121"/>
      <c r="G16" s="121"/>
    </row>
    <row r="17" spans="1:9" x14ac:dyDescent="0.25">
      <c r="A17" s="103" t="s">
        <v>394</v>
      </c>
      <c r="B17" s="121"/>
      <c r="C17" s="121"/>
      <c r="D17" s="121"/>
      <c r="E17" s="121"/>
      <c r="F17" s="121"/>
      <c r="G17" s="121"/>
    </row>
    <row r="18" spans="1:9" x14ac:dyDescent="0.25">
      <c r="A18" s="102" t="s">
        <v>395</v>
      </c>
      <c r="B18" s="121">
        <v>35.283726107999996</v>
      </c>
      <c r="C18" s="121">
        <v>39.175226423999995</v>
      </c>
      <c r="D18" s="121">
        <v>69.456869417999997</v>
      </c>
      <c r="E18" s="121">
        <v>94.600344454999998</v>
      </c>
      <c r="F18" s="121">
        <v>121.7464575764</v>
      </c>
      <c r="G18" s="121">
        <v>121.7464575764</v>
      </c>
    </row>
    <row r="23" spans="1:9" x14ac:dyDescent="0.25">
      <c r="A23" s="65" t="s">
        <v>405</v>
      </c>
      <c r="B23" s="65" t="s">
        <v>404</v>
      </c>
      <c r="C23" s="65" t="s">
        <v>6</v>
      </c>
      <c r="D23" s="65" t="s">
        <v>378</v>
      </c>
      <c r="E23" s="65" t="s">
        <v>367</v>
      </c>
      <c r="F23" s="65" t="s">
        <v>139</v>
      </c>
      <c r="G23" s="65" t="s">
        <v>7</v>
      </c>
      <c r="H23" s="65" t="s">
        <v>376</v>
      </c>
      <c r="I23" s="65" t="s">
        <v>380</v>
      </c>
    </row>
    <row r="24" spans="1:9" x14ac:dyDescent="0.25">
      <c r="A24" s="117">
        <v>2020</v>
      </c>
      <c r="B24" s="106" t="s">
        <v>2</v>
      </c>
      <c r="C24" s="126" cm="1">
        <f t="array" ref="C24">IF(LOOKUP(2,1/($A$24:$A24&lt;&gt;""),$A$24:$A24)&lt;2025,0,IFERROR(GETPIVOTDATA("Summe von "&amp;LOOKUP(2,1/($A$24:$A24&lt;&gt;""),$A$24:$A24),$A$3,"Scenario",$B24,"Subsector",C$23),0))</f>
        <v>0</v>
      </c>
      <c r="D24" s="126" cm="1">
        <f t="array" ref="D24">IF(LOOKUP(2,1/($A$24:$A24&lt;&gt;""),$A$24:$A24)&lt;2025,0,IFERROR(GETPIVOTDATA("Summe von "&amp;LOOKUP(2,1/($A$24:$A24&lt;&gt;""),$A$24:$A24),$A$3,"Scenario",$B24,"Subsector",D$23),0))</f>
        <v>0</v>
      </c>
      <c r="E24" s="126" cm="1">
        <f t="array" ref="E24">IF(LOOKUP(2,1/($A$24:$A24&lt;&gt;""),$A$24:$A24)&lt;2025,0,IFERROR(GETPIVOTDATA("Summe von "&amp;LOOKUP(2,1/($A$24:$A24&lt;&gt;""),$A$24:$A24),$A$3,"Scenario",$B24,"Subsector",E$23),0))</f>
        <v>0</v>
      </c>
      <c r="F24" s="126" cm="1">
        <f t="array" ref="F24">IF(LOOKUP(2,1/($A$24:$A24&lt;&gt;""),$A$24:$A24)&lt;2025,0,IFERROR(GETPIVOTDATA("Summe von "&amp;LOOKUP(2,1/($A$24:$A24&lt;&gt;""),$A$24:$A24),$A$3,"Scenario",$B24,"Subsector",F$23),0))</f>
        <v>0</v>
      </c>
      <c r="G24" s="126" cm="1">
        <f t="array" ref="G24">IF(LOOKUP(2,1/($A$24:$A24&lt;&gt;""),$A$24:$A24)&lt;2025,0,IFERROR(GETPIVOTDATA("Summe von "&amp;LOOKUP(2,1/($A$24:$A24&lt;&gt;""),$A$24:$A24),$A$3,"Scenario",$B24,"Subsector",G$23),0))</f>
        <v>0</v>
      </c>
      <c r="H24" s="126" cm="1">
        <f t="array" ref="H24">IF(LOOKUP(2,1/($A$24:$A24&lt;&gt;""),$A$24:$A24)&lt;2025,0,IFERROR(GETPIVOTDATA("Summe von "&amp;LOOKUP(2,1/($A$24:$A24&lt;&gt;""),$A$24:$A24),$A$3,"Scenario",$B24,"Subsector",H$23),0))</f>
        <v>0</v>
      </c>
      <c r="I24" s="126" cm="1">
        <f t="array" ref="I24">IF(LOOKUP(2,1/($A$24:$A24&lt;&gt;""),$A$24:$A24)&lt;2025,0,IFERROR(GETPIVOTDATA("Summe von "&amp;LOOKUP(2,1/($A$24:$A24&lt;&gt;""),$A$24:$A24),$A$3,"Scenario",$B24,"Subsector",I$23),0))</f>
        <v>0</v>
      </c>
    </row>
    <row r="25" spans="1:9" x14ac:dyDescent="0.25">
      <c r="A25" s="117"/>
      <c r="B25" s="106" t="s">
        <v>5</v>
      </c>
      <c r="C25" s="126" cm="1">
        <f t="array" ref="C25">IF(LOOKUP(2,1/($A$24:$A25&lt;&gt;""),$A$24:$A25)&lt;2025,0,IFERROR(GETPIVOTDATA("Summe von "&amp;LOOKUP(2,1/($A$24:$A25&lt;&gt;""),$A$24:$A25),$A$3,"Scenario",$B25,"Subsector",C$23),0))</f>
        <v>0</v>
      </c>
      <c r="D25" s="126" cm="1">
        <f t="array" ref="D25">IF(LOOKUP(2,1/($A$24:$A25&lt;&gt;""),$A$24:$A25)&lt;2025,0,IFERROR(GETPIVOTDATA("Summe von "&amp;LOOKUP(2,1/($A$24:$A25&lt;&gt;""),$A$24:$A25),$A$3,"Scenario",$B25,"Subsector",D$23),0))</f>
        <v>0</v>
      </c>
      <c r="E25" s="126" cm="1">
        <f t="array" ref="E25">IF(LOOKUP(2,1/($A$24:$A25&lt;&gt;""),$A$24:$A25)&lt;2025,0,IFERROR(GETPIVOTDATA("Summe von "&amp;LOOKUP(2,1/($A$24:$A25&lt;&gt;""),$A$24:$A25),$A$3,"Scenario",$B25,"Subsector",E$23),0))</f>
        <v>0</v>
      </c>
      <c r="F25" s="126" cm="1">
        <f t="array" ref="F25">IF(LOOKUP(2,1/($A$24:$A25&lt;&gt;""),$A$24:$A25)&lt;2025,0,IFERROR(GETPIVOTDATA("Summe von "&amp;LOOKUP(2,1/($A$24:$A25&lt;&gt;""),$A$24:$A25),$A$3,"Scenario",$B25,"Subsector",F$23),0))</f>
        <v>0</v>
      </c>
      <c r="G25" s="126" cm="1">
        <f t="array" ref="G25">IF(LOOKUP(2,1/($A$24:$A25&lt;&gt;""),$A$24:$A25)&lt;2025,0,IFERROR(GETPIVOTDATA("Summe von "&amp;LOOKUP(2,1/($A$24:$A25&lt;&gt;""),$A$24:$A25),$A$3,"Scenario",$B25,"Subsector",G$23),0))</f>
        <v>0</v>
      </c>
      <c r="H25" s="126" cm="1">
        <f t="array" ref="H25">IF(LOOKUP(2,1/($A$24:$A25&lt;&gt;""),$A$24:$A25)&lt;2025,0,IFERROR(GETPIVOTDATA("Summe von "&amp;LOOKUP(2,1/($A$24:$A25&lt;&gt;""),$A$24:$A25),$A$3,"Scenario",$B25,"Subsector",H$23),0))</f>
        <v>0</v>
      </c>
      <c r="I25" s="126" cm="1">
        <f t="array" ref="I25">IF(LOOKUP(2,1/($A$24:$A25&lt;&gt;""),$A$24:$A25)&lt;2025,0,IFERROR(GETPIVOTDATA("Summe von "&amp;LOOKUP(2,1/($A$24:$A25&lt;&gt;""),$A$24:$A25),$A$3,"Scenario",$B25,"Subsector",I$23),0))</f>
        <v>0</v>
      </c>
    </row>
    <row r="26" spans="1:9" x14ac:dyDescent="0.25">
      <c r="A26" s="117">
        <v>2025</v>
      </c>
      <c r="B26" s="106" t="s">
        <v>2</v>
      </c>
      <c r="C26" s="126" cm="1">
        <f t="array" ref="C26">IF(LOOKUP(2,1/($A$24:$A26&lt;&gt;""),$A$24:$A26)&lt;2025,0,IFERROR(GETPIVOTDATA("Summe von "&amp;LOOKUP(2,1/($A$24:$A26&lt;&gt;""),$A$24:$A26),$A$3,"Scenario",$B26,"Subsector",C$23),0))</f>
        <v>13.548368380999998</v>
      </c>
      <c r="D26" s="126" cm="1">
        <f t="array" ref="D26">IF(LOOKUP(2,1/($A$24:$A26&lt;&gt;""),$A$24:$A26)&lt;2025,0,IFERROR(GETPIVOTDATA("Summe von "&amp;LOOKUP(2,1/($A$24:$A26&lt;&gt;""),$A$24:$A26),$A$3,"Scenario",$B26,"Subsector",D$23),0))</f>
        <v>0</v>
      </c>
      <c r="E26" s="126" cm="1">
        <f t="array" ref="E26">IF(LOOKUP(2,1/($A$24:$A26&lt;&gt;""),$A$24:$A26)&lt;2025,0,IFERROR(GETPIVOTDATA("Summe von "&amp;LOOKUP(2,1/($A$24:$A26&lt;&gt;""),$A$24:$A26),$A$3,"Scenario",$B26,"Subsector",E$23),0))</f>
        <v>0</v>
      </c>
      <c r="F26" s="126" cm="1">
        <f t="array" ref="F26">IF(LOOKUP(2,1/($A$24:$A26&lt;&gt;""),$A$24:$A26)&lt;2025,0,IFERROR(GETPIVOTDATA("Summe von "&amp;LOOKUP(2,1/($A$24:$A26&lt;&gt;""),$A$24:$A26),$A$3,"Scenario",$B26,"Subsector",F$23),0))</f>
        <v>3.4999999980000012</v>
      </c>
      <c r="G26" s="126" cm="1">
        <f t="array" ref="G26">IF(LOOKUP(2,1/($A$24:$A26&lt;&gt;""),$A$24:$A26)&lt;2025,0,IFERROR(GETPIVOTDATA("Summe von "&amp;LOOKUP(2,1/($A$24:$A26&lt;&gt;""),$A$24:$A26),$A$3,"Scenario",$B26,"Subsector",G$23),0))</f>
        <v>0.59349467499999997</v>
      </c>
      <c r="H26" s="126" cm="1">
        <f t="array" ref="H26">IF(LOOKUP(2,1/($A$24:$A26&lt;&gt;""),$A$24:$A26)&lt;2025,0,IFERROR(GETPIVOTDATA("Summe von "&amp;LOOKUP(2,1/($A$24:$A26&lt;&gt;""),$A$24:$A26),$A$3,"Scenario",$B26,"Subsector",H$23),0))</f>
        <v>0</v>
      </c>
      <c r="I26" s="126" cm="1">
        <f t="array" ref="I26">IF(LOOKUP(2,1/($A$24:$A26&lt;&gt;""),$A$24:$A26)&lt;2025,0,IFERROR(GETPIVOTDATA("Summe von "&amp;LOOKUP(2,1/($A$24:$A26&lt;&gt;""),$A$24:$A26),$A$3,"Scenario",$B26,"Subsector",I$23),0))</f>
        <v>0</v>
      </c>
    </row>
    <row r="27" spans="1:9" x14ac:dyDescent="0.25">
      <c r="A27" s="117"/>
      <c r="B27" s="106" t="s">
        <v>5</v>
      </c>
      <c r="C27" s="126" cm="1">
        <f t="array" ref="C27">IF(LOOKUP(2,1/($A$24:$A27&lt;&gt;""),$A$24:$A27)&lt;2025,0,IFERROR(GETPIVOTDATA("Summe von "&amp;LOOKUP(2,1/($A$24:$A27&lt;&gt;""),$A$24:$A27),$A$3,"Scenario",$B27,"Subsector",C$23),0))</f>
        <v>13.548368380999998</v>
      </c>
      <c r="D27" s="126" cm="1">
        <f t="array" ref="D27">IF(LOOKUP(2,1/($A$24:$A27&lt;&gt;""),$A$24:$A27)&lt;2025,0,IFERROR(GETPIVOTDATA("Summe von "&amp;LOOKUP(2,1/($A$24:$A27&lt;&gt;""),$A$24:$A27),$A$3,"Scenario",$B27,"Subsector",D$23),0))</f>
        <v>0</v>
      </c>
      <c r="E27" s="126" cm="1">
        <f t="array" ref="E27">IF(LOOKUP(2,1/($A$24:$A27&lt;&gt;""),$A$24:$A27)&lt;2025,0,IFERROR(GETPIVOTDATA("Summe von "&amp;LOOKUP(2,1/($A$24:$A27&lt;&gt;""),$A$24:$A27),$A$3,"Scenario",$B27,"Subsector",E$23),0))</f>
        <v>0</v>
      </c>
      <c r="F27" s="126" cm="1">
        <f t="array" ref="F27">IF(LOOKUP(2,1/($A$24:$A27&lt;&gt;""),$A$24:$A27)&lt;2025,0,IFERROR(GETPIVOTDATA("Summe von "&amp;LOOKUP(2,1/($A$24:$A27&lt;&gt;""),$A$24:$A27),$A$3,"Scenario",$B27,"Subsector",F$23),0))</f>
        <v>3.4999999980000012</v>
      </c>
      <c r="G27" s="126" cm="1">
        <f t="array" ref="G27">IF(LOOKUP(2,1/($A$24:$A27&lt;&gt;""),$A$24:$A27)&lt;2025,0,IFERROR(GETPIVOTDATA("Summe von "&amp;LOOKUP(2,1/($A$24:$A27&lt;&gt;""),$A$24:$A27),$A$3,"Scenario",$B27,"Subsector",G$23),0))</f>
        <v>0.59349467499999997</v>
      </c>
      <c r="H27" s="126" cm="1">
        <f t="array" ref="H27">IF(LOOKUP(2,1/($A$24:$A27&lt;&gt;""),$A$24:$A27)&lt;2025,0,IFERROR(GETPIVOTDATA("Summe von "&amp;LOOKUP(2,1/($A$24:$A27&lt;&gt;""),$A$24:$A27),$A$3,"Scenario",$B27,"Subsector",H$23),0))</f>
        <v>0</v>
      </c>
      <c r="I27" s="126" cm="1">
        <f t="array" ref="I27">IF(LOOKUP(2,1/($A$24:$A27&lt;&gt;""),$A$24:$A27)&lt;2025,0,IFERROR(GETPIVOTDATA("Summe von "&amp;LOOKUP(2,1/($A$24:$A27&lt;&gt;""),$A$24:$A27),$A$3,"Scenario",$B27,"Subsector",I$23),0))</f>
        <v>0</v>
      </c>
    </row>
    <row r="28" spans="1:9" x14ac:dyDescent="0.25">
      <c r="A28" s="117">
        <v>2030</v>
      </c>
      <c r="B28" s="106" t="s">
        <v>2</v>
      </c>
      <c r="C28" s="126" cm="1">
        <f t="array" ref="C28">IF(LOOKUP(2,1/($A$24:$A28&lt;&gt;""),$A$24:$A28)&lt;2025,0,IFERROR(GETPIVOTDATA("Summe von "&amp;LOOKUP(2,1/($A$24:$A28&lt;&gt;""),$A$24:$A28),$A$3,"Scenario",$B28,"Subsector",C$23),0))</f>
        <v>11.930371541999998</v>
      </c>
      <c r="D28" s="126" cm="1">
        <f t="array" ref="D28">IF(LOOKUP(2,1/($A$24:$A28&lt;&gt;""),$A$24:$A28)&lt;2025,0,IFERROR(GETPIVOTDATA("Summe von "&amp;LOOKUP(2,1/($A$24:$A28&lt;&gt;""),$A$24:$A28),$A$3,"Scenario",$B28,"Subsector",D$23),0))</f>
        <v>0</v>
      </c>
      <c r="E28" s="126" cm="1">
        <f t="array" ref="E28">IF(LOOKUP(2,1/($A$24:$A28&lt;&gt;""),$A$24:$A28)&lt;2025,0,IFERROR(GETPIVOTDATA("Summe von "&amp;LOOKUP(2,1/($A$24:$A28&lt;&gt;""),$A$24:$A28),$A$3,"Scenario",$B28,"Subsector",E$23),0))</f>
        <v>0</v>
      </c>
      <c r="F28" s="126" cm="1">
        <f t="array" ref="F28">IF(LOOKUP(2,1/($A$24:$A28&lt;&gt;""),$A$24:$A28)&lt;2025,0,IFERROR(GETPIVOTDATA("Summe von "&amp;LOOKUP(2,1/($A$24:$A28&lt;&gt;""),$A$24:$A28),$A$3,"Scenario",$B28,"Subsector",F$23),0))</f>
        <v>4.2000000010000003</v>
      </c>
      <c r="G28" s="126" cm="1">
        <f t="array" ref="G28">IF(LOOKUP(2,1/($A$24:$A28&lt;&gt;""),$A$24:$A28)&lt;2025,0,IFERROR(GETPIVOTDATA("Summe von "&amp;LOOKUP(2,1/($A$24:$A28&lt;&gt;""),$A$24:$A28),$A$3,"Scenario",$B28,"Subsector",G$23),0))</f>
        <v>3.4572416690000005</v>
      </c>
      <c r="H28" s="126" cm="1">
        <f t="array" ref="H28">IF(LOOKUP(2,1/($A$24:$A28&lt;&gt;""),$A$24:$A28)&lt;2025,0,IFERROR(GETPIVOTDATA("Summe von "&amp;LOOKUP(2,1/($A$24:$A28&lt;&gt;""),$A$24:$A28),$A$3,"Scenario",$B28,"Subsector",H$23),0))</f>
        <v>0</v>
      </c>
      <c r="I28" s="126" cm="1">
        <f t="array" ref="I28">IF(LOOKUP(2,1/($A$24:$A28&lt;&gt;""),$A$24:$A28)&lt;2025,0,IFERROR(GETPIVOTDATA("Summe von "&amp;LOOKUP(2,1/($A$24:$A28&lt;&gt;""),$A$24:$A28),$A$3,"Scenario",$B28,"Subsector",I$23),0))</f>
        <v>0</v>
      </c>
    </row>
    <row r="29" spans="1:9" x14ac:dyDescent="0.25">
      <c r="A29" s="117"/>
      <c r="B29" s="106" t="s">
        <v>5</v>
      </c>
      <c r="C29" s="126" cm="1">
        <f t="array" ref="C29">IF(LOOKUP(2,1/($A$24:$A29&lt;&gt;""),$A$24:$A29)&lt;2025,0,IFERROR(GETPIVOTDATA("Summe von "&amp;LOOKUP(2,1/($A$24:$A29&lt;&gt;""),$A$24:$A29),$A$3,"Scenario",$B29,"Subsector",C$23),0))</f>
        <v>11.930371541999998</v>
      </c>
      <c r="D29" s="126" cm="1">
        <f t="array" ref="D29">IF(LOOKUP(2,1/($A$24:$A29&lt;&gt;""),$A$24:$A29)&lt;2025,0,IFERROR(GETPIVOTDATA("Summe von "&amp;LOOKUP(2,1/($A$24:$A29&lt;&gt;""),$A$24:$A29),$A$3,"Scenario",$B29,"Subsector",D$23),0))</f>
        <v>0</v>
      </c>
      <c r="E29" s="126" cm="1">
        <f t="array" ref="E29">IF(LOOKUP(2,1/($A$24:$A29&lt;&gt;""),$A$24:$A29)&lt;2025,0,IFERROR(GETPIVOTDATA("Summe von "&amp;LOOKUP(2,1/($A$24:$A29&lt;&gt;""),$A$24:$A29),$A$3,"Scenario",$B29,"Subsector",E$23),0))</f>
        <v>0</v>
      </c>
      <c r="F29" s="126" cm="1">
        <f t="array" ref="F29">IF(LOOKUP(2,1/($A$24:$A29&lt;&gt;""),$A$24:$A29)&lt;2025,0,IFERROR(GETPIVOTDATA("Summe von "&amp;LOOKUP(2,1/($A$24:$A29&lt;&gt;""),$A$24:$A29),$A$3,"Scenario",$B29,"Subsector",F$23),0))</f>
        <v>4.2000000010000003</v>
      </c>
      <c r="G29" s="126" cm="1">
        <f t="array" ref="G29">IF(LOOKUP(2,1/($A$24:$A29&lt;&gt;""),$A$24:$A29)&lt;2025,0,IFERROR(GETPIVOTDATA("Summe von "&amp;LOOKUP(2,1/($A$24:$A29&lt;&gt;""),$A$24:$A29),$A$3,"Scenario",$B29,"Subsector",G$23),0))</f>
        <v>3.4572416690000005</v>
      </c>
      <c r="H29" s="126" cm="1">
        <f t="array" ref="H29">IF(LOOKUP(2,1/($A$24:$A29&lt;&gt;""),$A$24:$A29)&lt;2025,0,IFERROR(GETPIVOTDATA("Summe von "&amp;LOOKUP(2,1/($A$24:$A29&lt;&gt;""),$A$24:$A29),$A$3,"Scenario",$B29,"Subsector",H$23),0))</f>
        <v>0</v>
      </c>
      <c r="I29" s="126" cm="1">
        <f t="array" ref="I29">IF(LOOKUP(2,1/($A$24:$A29&lt;&gt;""),$A$24:$A29)&lt;2025,0,IFERROR(GETPIVOTDATA("Summe von "&amp;LOOKUP(2,1/($A$24:$A29&lt;&gt;""),$A$24:$A29),$A$3,"Scenario",$B29,"Subsector",I$23),0))</f>
        <v>0</v>
      </c>
    </row>
    <row r="30" spans="1:9" x14ac:dyDescent="0.25">
      <c r="A30" s="117">
        <v>2035</v>
      </c>
      <c r="B30" s="106" t="s">
        <v>2</v>
      </c>
      <c r="C30" s="126" cm="1">
        <f t="array" ref="C30">IF(LOOKUP(2,1/($A$24:$A30&lt;&gt;""),$A$24:$A30)&lt;2025,0,IFERROR(GETPIVOTDATA("Summe von "&amp;LOOKUP(2,1/($A$24:$A30&lt;&gt;""),$A$24:$A30),$A$3,"Scenario",$B30,"Subsector",C$23),0))</f>
        <v>12.866591305000002</v>
      </c>
      <c r="D30" s="126" cm="1">
        <f t="array" ref="D30">IF(LOOKUP(2,1/($A$24:$A30&lt;&gt;""),$A$24:$A30)&lt;2025,0,IFERROR(GETPIVOTDATA("Summe von "&amp;LOOKUP(2,1/($A$24:$A30&lt;&gt;""),$A$24:$A30),$A$3,"Scenario",$B30,"Subsector",D$23),0))</f>
        <v>4.5240010000000002</v>
      </c>
      <c r="E30" s="126" cm="1">
        <f t="array" ref="E30">IF(LOOKUP(2,1/($A$24:$A30&lt;&gt;""),$A$24:$A30)&lt;2025,0,IFERROR(GETPIVOTDATA("Summe von "&amp;LOOKUP(2,1/($A$24:$A30&lt;&gt;""),$A$24:$A30),$A$3,"Scenario",$B30,"Subsector",E$23),0))</f>
        <v>8.4261669999999995</v>
      </c>
      <c r="F30" s="126" cm="1">
        <f t="array" ref="F30">IF(LOOKUP(2,1/($A$24:$A30&lt;&gt;""),$A$24:$A30)&lt;2025,0,IFERROR(GETPIVOTDATA("Summe von "&amp;LOOKUP(2,1/($A$24:$A30&lt;&gt;""),$A$24:$A30),$A$3,"Scenario",$B30,"Subsector",F$23),0))</f>
        <v>3.4999999980000012</v>
      </c>
      <c r="G30" s="126" cm="1">
        <f t="array" ref="G30">IF(LOOKUP(2,1/($A$24:$A30&lt;&gt;""),$A$24:$A30)&lt;2025,0,IFERROR(GETPIVOTDATA("Summe von "&amp;LOOKUP(2,1/($A$24:$A30&lt;&gt;""),$A$24:$A30),$A$3,"Scenario",$B30,"Subsector",G$23),0))</f>
        <v>8.4705924060000015</v>
      </c>
      <c r="H30" s="126" cm="1">
        <f t="array" ref="H30">IF(LOOKUP(2,1/($A$24:$A30&lt;&gt;""),$A$24:$A30)&lt;2025,0,IFERROR(GETPIVOTDATA("Summe von "&amp;LOOKUP(2,1/($A$24:$A30&lt;&gt;""),$A$24:$A30),$A$3,"Scenario",$B30,"Subsector",H$23),0))</f>
        <v>5.5986669999999998</v>
      </c>
      <c r="I30" s="126" cm="1">
        <f t="array" ref="I30">IF(LOOKUP(2,1/($A$24:$A30&lt;&gt;""),$A$24:$A30)&lt;2025,0,IFERROR(GETPIVOTDATA("Summe von "&amp;LOOKUP(2,1/($A$24:$A30&lt;&gt;""),$A$24:$A30),$A$3,"Scenario",$B30,"Subsector",I$23),0))</f>
        <v>1.2336670000000001</v>
      </c>
    </row>
    <row r="31" spans="1:9" x14ac:dyDescent="0.25">
      <c r="A31" s="117"/>
      <c r="B31" s="106" t="s">
        <v>5</v>
      </c>
      <c r="C31" s="126" cm="1">
        <f t="array" ref="C31">IF(LOOKUP(2,1/($A$24:$A31&lt;&gt;""),$A$24:$A31)&lt;2025,0,IFERROR(GETPIVOTDATA("Summe von "&amp;LOOKUP(2,1/($A$24:$A31&lt;&gt;""),$A$24:$A31),$A$3,"Scenario",$B31,"Subsector",C$23),0))</f>
        <v>12.866591305000002</v>
      </c>
      <c r="D31" s="126" cm="1">
        <f t="array" ref="D31">IF(LOOKUP(2,1/($A$24:$A31&lt;&gt;""),$A$24:$A31)&lt;2025,0,IFERROR(GETPIVOTDATA("Summe von "&amp;LOOKUP(2,1/($A$24:$A31&lt;&gt;""),$A$24:$A31),$A$3,"Scenario",$B31,"Subsector",D$23),0))</f>
        <v>0</v>
      </c>
      <c r="E31" s="126" cm="1">
        <f t="array" ref="E31">IF(LOOKUP(2,1/($A$24:$A31&lt;&gt;""),$A$24:$A31)&lt;2025,0,IFERROR(GETPIVOTDATA("Summe von "&amp;LOOKUP(2,1/($A$24:$A31&lt;&gt;""),$A$24:$A31),$A$3,"Scenario",$B31,"Subsector",E$23),0))</f>
        <v>0</v>
      </c>
      <c r="F31" s="126" cm="1">
        <f t="array" ref="F31">IF(LOOKUP(2,1/($A$24:$A31&lt;&gt;""),$A$24:$A31)&lt;2025,0,IFERROR(GETPIVOTDATA("Summe von "&amp;LOOKUP(2,1/($A$24:$A31&lt;&gt;""),$A$24:$A31),$A$3,"Scenario",$B31,"Subsector",F$23),0))</f>
        <v>3.4999999980000012</v>
      </c>
      <c r="G31" s="126" cm="1">
        <f t="array" ref="G31">IF(LOOKUP(2,1/($A$24:$A31&lt;&gt;""),$A$24:$A31)&lt;2025,0,IFERROR(GETPIVOTDATA("Summe von "&amp;LOOKUP(2,1/($A$24:$A31&lt;&gt;""),$A$24:$A31),$A$3,"Scenario",$B31,"Subsector",G$23),0))</f>
        <v>8.4705924060000015</v>
      </c>
      <c r="H31" s="126" cm="1">
        <f t="array" ref="H31">IF(LOOKUP(2,1/($A$24:$A31&lt;&gt;""),$A$24:$A31)&lt;2025,0,IFERROR(GETPIVOTDATA("Summe von "&amp;LOOKUP(2,1/($A$24:$A31&lt;&gt;""),$A$24:$A31),$A$3,"Scenario",$B31,"Subsector",H$23),0))</f>
        <v>0</v>
      </c>
      <c r="I31" s="126" cm="1">
        <f t="array" ref="I31">IF(LOOKUP(2,1/($A$24:$A31&lt;&gt;""),$A$24:$A31)&lt;2025,0,IFERROR(GETPIVOTDATA("Summe von "&amp;LOOKUP(2,1/($A$24:$A31&lt;&gt;""),$A$24:$A31),$A$3,"Scenario",$B31,"Subsector",I$23),0))</f>
        <v>0</v>
      </c>
    </row>
    <row r="32" spans="1:9" x14ac:dyDescent="0.25">
      <c r="A32" s="117">
        <v>2040</v>
      </c>
      <c r="B32" s="106" t="s">
        <v>2</v>
      </c>
      <c r="C32" s="126" cm="1">
        <f t="array" ref="C32">IF(LOOKUP(2,1/($A$24:$A32&lt;&gt;""),$A$24:$A32)&lt;2025,0,IFERROR(GETPIVOTDATA("Summe von "&amp;LOOKUP(2,1/($A$24:$A32&lt;&gt;""),$A$24:$A32),$A$3,"Scenario",$B32,"Subsector",C$23),0))</f>
        <v>11.769628456999998</v>
      </c>
      <c r="D32" s="126" cm="1">
        <f t="array" ref="D32">IF(LOOKUP(2,1/($A$24:$A32&lt;&gt;""),$A$24:$A32)&lt;2025,0,IFERROR(GETPIVOTDATA("Summe von "&amp;LOOKUP(2,1/($A$24:$A32&lt;&gt;""),$A$24:$A32),$A$3,"Scenario",$B32,"Subsector",D$23),0))</f>
        <v>9.047998999999999</v>
      </c>
      <c r="E32" s="126" cm="1">
        <f t="array" ref="E32">IF(LOOKUP(2,1/($A$24:$A32&lt;&gt;""),$A$24:$A32)&lt;2025,0,IFERROR(GETPIVOTDATA("Summe von "&amp;LOOKUP(2,1/($A$24:$A32&lt;&gt;""),$A$24:$A32),$A$3,"Scenario",$B32,"Subsector",E$23),0))</f>
        <v>16.852332999999998</v>
      </c>
      <c r="F32" s="126" cm="1">
        <f t="array" ref="F32">IF(LOOKUP(2,1/($A$24:$A32&lt;&gt;""),$A$24:$A32)&lt;2025,0,IFERROR(GETPIVOTDATA("Summe von "&amp;LOOKUP(2,1/($A$24:$A32&lt;&gt;""),$A$24:$A32),$A$3,"Scenario",$B32,"Subsector",F$23),0))</f>
        <v>3.2000000020000008</v>
      </c>
      <c r="G32" s="126" cm="1">
        <f t="array" ref="G32">IF(LOOKUP(2,1/($A$24:$A32&lt;&gt;""),$A$24:$A32)&lt;2025,0,IFERROR(GETPIVOTDATA("Summe von "&amp;LOOKUP(2,1/($A$24:$A32&lt;&gt;""),$A$24:$A32),$A$3,"Scenario",$B32,"Subsector",G$23),0))</f>
        <v>12.548044769000002</v>
      </c>
      <c r="H32" s="126" cm="1">
        <f t="array" ref="H32">IF(LOOKUP(2,1/($A$24:$A32&lt;&gt;""),$A$24:$A32)&lt;2025,0,IFERROR(GETPIVOTDATA("Summe von "&amp;LOOKUP(2,1/($A$24:$A32&lt;&gt;""),$A$24:$A32),$A$3,"Scenario",$B32,"Subsector",H$23),0))</f>
        <v>11.197333</v>
      </c>
      <c r="I32" s="126" cm="1">
        <f t="array" ref="I32">IF(LOOKUP(2,1/($A$24:$A32&lt;&gt;""),$A$24:$A32)&lt;2025,0,IFERROR(GETPIVOTDATA("Summe von "&amp;LOOKUP(2,1/($A$24:$A32&lt;&gt;""),$A$24:$A32),$A$3,"Scenario",$B32,"Subsector",I$23),0))</f>
        <v>2.4673329999999996</v>
      </c>
    </row>
    <row r="33" spans="1:9" x14ac:dyDescent="0.25">
      <c r="A33" s="117"/>
      <c r="B33" s="106" t="s">
        <v>5</v>
      </c>
      <c r="C33" s="126" cm="1">
        <f t="array" ref="C33">IF(LOOKUP(2,1/($A$24:$A33&lt;&gt;""),$A$24:$A33)&lt;2025,0,IFERROR(GETPIVOTDATA("Summe von "&amp;LOOKUP(2,1/($A$24:$A33&lt;&gt;""),$A$24:$A33),$A$3,"Scenario",$B33,"Subsector",C$23),0))</f>
        <v>11.769628456999998</v>
      </c>
      <c r="D33" s="126" cm="1">
        <f t="array" ref="D33">IF(LOOKUP(2,1/($A$24:$A33&lt;&gt;""),$A$24:$A33)&lt;2025,0,IFERROR(GETPIVOTDATA("Summe von "&amp;LOOKUP(2,1/($A$24:$A33&lt;&gt;""),$A$24:$A33),$A$3,"Scenario",$B33,"Subsector",D$23),0))</f>
        <v>0</v>
      </c>
      <c r="E33" s="126" cm="1">
        <f t="array" ref="E33">IF(LOOKUP(2,1/($A$24:$A33&lt;&gt;""),$A$24:$A33)&lt;2025,0,IFERROR(GETPIVOTDATA("Summe von "&amp;LOOKUP(2,1/($A$24:$A33&lt;&gt;""),$A$24:$A33),$A$3,"Scenario",$B33,"Subsector",E$23),0))</f>
        <v>0</v>
      </c>
      <c r="F33" s="126" cm="1">
        <f t="array" ref="F33">IF(LOOKUP(2,1/($A$24:$A33&lt;&gt;""),$A$24:$A33)&lt;2025,0,IFERROR(GETPIVOTDATA("Summe von "&amp;LOOKUP(2,1/($A$24:$A33&lt;&gt;""),$A$24:$A33),$A$3,"Scenario",$B33,"Subsector",F$23),0))</f>
        <v>3.2000000010000007</v>
      </c>
      <c r="G33" s="126" cm="1">
        <f t="array" ref="G33">IF(LOOKUP(2,1/($A$24:$A33&lt;&gt;""),$A$24:$A33)&lt;2025,0,IFERROR(GETPIVOTDATA("Summe von "&amp;LOOKUP(2,1/($A$24:$A33&lt;&gt;""),$A$24:$A33),$A$3,"Scenario",$B33,"Subsector",G$23),0))</f>
        <v>12.548044769000002</v>
      </c>
      <c r="H33" s="126" cm="1">
        <f t="array" ref="H33">IF(LOOKUP(2,1/($A$24:$A33&lt;&gt;""),$A$24:$A33)&lt;2025,0,IFERROR(GETPIVOTDATA("Summe von "&amp;LOOKUP(2,1/($A$24:$A33&lt;&gt;""),$A$24:$A33),$A$3,"Scenario",$B33,"Subsector",H$23),0))</f>
        <v>0</v>
      </c>
      <c r="I33" s="126" cm="1">
        <f t="array" ref="I33">IF(LOOKUP(2,1/($A$24:$A33&lt;&gt;""),$A$24:$A33)&lt;2025,0,IFERROR(GETPIVOTDATA("Summe von "&amp;LOOKUP(2,1/($A$24:$A33&lt;&gt;""),$A$24:$A33),$A$3,"Scenario",$B33,"Subsector",I$23),0))</f>
        <v>0</v>
      </c>
    </row>
    <row r="34" spans="1:9" x14ac:dyDescent="0.25">
      <c r="A34" s="117">
        <v>2045</v>
      </c>
      <c r="B34" s="106" t="s">
        <v>2</v>
      </c>
      <c r="C34" s="126" cm="1">
        <f t="array" ref="C34">IF(LOOKUP(2,1/($A$24:$A34&lt;&gt;""),$A$24:$A34)&lt;2025,0,IFERROR(GETPIVOTDATA("Summe von "&amp;LOOKUP(2,1/($A$24:$A34&lt;&gt;""),$A$24:$A34),$A$3,"Scenario",$B34,"Subsector",C$23),0))</f>
        <v>10.766591305000002</v>
      </c>
      <c r="D34" s="126" cm="1">
        <f t="array" ref="D34">IF(LOOKUP(2,1/($A$24:$A34&lt;&gt;""),$A$24:$A34)&lt;2025,0,IFERROR(GETPIVOTDATA("Summe von "&amp;LOOKUP(2,1/($A$24:$A34&lt;&gt;""),$A$24:$A34),$A$3,"Scenario",$B34,"Subsector",D$23),0))</f>
        <v>13.572000000000001</v>
      </c>
      <c r="E34" s="126" cm="1">
        <f t="array" ref="E34">IF(LOOKUP(2,1/($A$24:$A34&lt;&gt;""),$A$24:$A34)&lt;2025,0,IFERROR(GETPIVOTDATA("Summe von "&amp;LOOKUP(2,1/($A$24:$A34&lt;&gt;""),$A$24:$A34),$A$3,"Scenario",$B34,"Subsector",E$23),0))</f>
        <v>25.278500000000001</v>
      </c>
      <c r="F34" s="126" cm="1">
        <f t="array" ref="F34">IF(LOOKUP(2,1/($A$24:$A34&lt;&gt;""),$A$24:$A34)&lt;2025,0,IFERROR(GETPIVOTDATA("Summe von "&amp;LOOKUP(2,1/($A$24:$A34&lt;&gt;""),$A$24:$A34),$A$3,"Scenario",$B34,"Subsector",F$23),0))</f>
        <v>3.000000001400001</v>
      </c>
      <c r="G34" s="126" cm="1">
        <f t="array" ref="G34">IF(LOOKUP(2,1/($A$24:$A34&lt;&gt;""),$A$24:$A34)&lt;2025,0,IFERROR(GETPIVOTDATA("Summe von "&amp;LOOKUP(2,1/($A$24:$A34&lt;&gt;""),$A$24:$A34),$A$3,"Scenario",$B34,"Subsector",G$23),0))</f>
        <v>17.432887501</v>
      </c>
      <c r="H34" s="126" cm="1">
        <f t="array" ref="H34">IF(LOOKUP(2,1/($A$24:$A34&lt;&gt;""),$A$24:$A34)&lt;2025,0,IFERROR(GETPIVOTDATA("Summe von "&amp;LOOKUP(2,1/($A$24:$A34&lt;&gt;""),$A$24:$A34),$A$3,"Scenario",$B34,"Subsector",H$23),0))</f>
        <v>16.795999999999999</v>
      </c>
      <c r="I34" s="126" cm="1">
        <f t="array" ref="I34">IF(LOOKUP(2,1/($A$24:$A34&lt;&gt;""),$A$24:$A34)&lt;2025,0,IFERROR(GETPIVOTDATA("Summe von "&amp;LOOKUP(2,1/($A$24:$A34&lt;&gt;""),$A$24:$A34),$A$3,"Scenario",$B34,"Subsector",I$23),0))</f>
        <v>3.7010000000000005</v>
      </c>
    </row>
    <row r="35" spans="1:9" x14ac:dyDescent="0.25">
      <c r="A35" s="117"/>
      <c r="B35" s="106" t="s">
        <v>5</v>
      </c>
      <c r="C35" s="126" cm="1">
        <f t="array" ref="C35">IF(LOOKUP(2,1/($A$24:$A35&lt;&gt;""),$A$24:$A35)&lt;2025,0,IFERROR(GETPIVOTDATA("Summe von "&amp;LOOKUP(2,1/($A$24:$A35&lt;&gt;""),$A$24:$A35),$A$3,"Scenario",$B35,"Subsector",C$23),0))</f>
        <v>10.766591305000002</v>
      </c>
      <c r="D35" s="126" cm="1">
        <f t="array" ref="D35">IF(LOOKUP(2,1/($A$24:$A35&lt;&gt;""),$A$24:$A35)&lt;2025,0,IFERROR(GETPIVOTDATA("Summe von "&amp;LOOKUP(2,1/($A$24:$A35&lt;&gt;""),$A$24:$A35),$A$3,"Scenario",$B35,"Subsector",D$23),0))</f>
        <v>0</v>
      </c>
      <c r="E35" s="126" cm="1">
        <f t="array" ref="E35">IF(LOOKUP(2,1/($A$24:$A35&lt;&gt;""),$A$24:$A35)&lt;2025,0,IFERROR(GETPIVOTDATA("Summe von "&amp;LOOKUP(2,1/($A$24:$A35&lt;&gt;""),$A$24:$A35),$A$3,"Scenario",$B35,"Subsector",E$23),0))</f>
        <v>0</v>
      </c>
      <c r="F35" s="126" cm="1">
        <f t="array" ref="F35">IF(LOOKUP(2,1/($A$24:$A35&lt;&gt;""),$A$24:$A35)&lt;2025,0,IFERROR(GETPIVOTDATA("Summe von "&amp;LOOKUP(2,1/($A$24:$A35&lt;&gt;""),$A$24:$A35),$A$3,"Scenario",$B35,"Subsector",F$23),0))</f>
        <v>2.9999999630000005</v>
      </c>
      <c r="G35" s="126" cm="1">
        <f t="array" ref="G35">IF(LOOKUP(2,1/($A$24:$A35&lt;&gt;""),$A$24:$A35)&lt;2025,0,IFERROR(GETPIVOTDATA("Summe von "&amp;LOOKUP(2,1/($A$24:$A35&lt;&gt;""),$A$24:$A35),$A$3,"Scenario",$B35,"Subsector",G$23),0))</f>
        <v>17.432887501</v>
      </c>
      <c r="H35" s="126" cm="1">
        <f t="array" ref="H35">IF(LOOKUP(2,1/($A$24:$A35&lt;&gt;""),$A$24:$A35)&lt;2025,0,IFERROR(GETPIVOTDATA("Summe von "&amp;LOOKUP(2,1/($A$24:$A35&lt;&gt;""),$A$24:$A35),$A$3,"Scenario",$B35,"Subsector",H$23),0))</f>
        <v>0</v>
      </c>
      <c r="I35" s="126" cm="1">
        <f t="array" ref="I35">IF(LOOKUP(2,1/($A$24:$A35&lt;&gt;""),$A$24:$A35)&lt;2025,0,IFERROR(GETPIVOTDATA("Summe von "&amp;LOOKUP(2,1/($A$24:$A35&lt;&gt;""),$A$24:$A35),$A$3,"Scenario",$B35,"Subsector",I$23),0))</f>
        <v>0</v>
      </c>
    </row>
    <row r="36" spans="1:9" x14ac:dyDescent="0.25">
      <c r="A36" s="117">
        <v>2050</v>
      </c>
      <c r="B36" s="106" t="s">
        <v>2</v>
      </c>
      <c r="C36" s="126" cm="1">
        <f t="array" ref="C36">IF(LOOKUP(2,1/($A$24:$A36&lt;&gt;""),$A$24:$A36)&lt;2025,0,IFERROR(GETPIVOTDATA("Summe von "&amp;LOOKUP(2,1/($A$24:$A36&lt;&gt;""),$A$24:$A36),$A$3,"Scenario",$B36,"Subsector",C$23),0))</f>
        <v>10.766591305000002</v>
      </c>
      <c r="D36" s="126" cm="1">
        <f t="array" ref="D36">IF(LOOKUP(2,1/($A$24:$A36&lt;&gt;""),$A$24:$A36)&lt;2025,0,IFERROR(GETPIVOTDATA("Summe von "&amp;LOOKUP(2,1/($A$24:$A36&lt;&gt;""),$A$24:$A36),$A$3,"Scenario",$B36,"Subsector",D$23),0))</f>
        <v>13.572000000000001</v>
      </c>
      <c r="E36" s="126" cm="1">
        <f t="array" ref="E36">IF(LOOKUP(2,1/($A$24:$A36&lt;&gt;""),$A$24:$A36)&lt;2025,0,IFERROR(GETPIVOTDATA("Summe von "&amp;LOOKUP(2,1/($A$24:$A36&lt;&gt;""),$A$24:$A36),$A$3,"Scenario",$B36,"Subsector",E$23),0))</f>
        <v>25.278500000000001</v>
      </c>
      <c r="F36" s="126" cm="1">
        <f t="array" ref="F36">IF(LOOKUP(2,1/($A$24:$A36&lt;&gt;""),$A$24:$A36)&lt;2025,0,IFERROR(GETPIVOTDATA("Summe von "&amp;LOOKUP(2,1/($A$24:$A36&lt;&gt;""),$A$24:$A36),$A$3,"Scenario",$B36,"Subsector",F$23),0))</f>
        <v>3.000000001400001</v>
      </c>
      <c r="G36" s="126" cm="1">
        <f t="array" ref="G36">IF(LOOKUP(2,1/($A$24:$A36&lt;&gt;""),$A$24:$A36)&lt;2025,0,IFERROR(GETPIVOTDATA("Summe von "&amp;LOOKUP(2,1/($A$24:$A36&lt;&gt;""),$A$24:$A36),$A$3,"Scenario",$B36,"Subsector",G$23),0))</f>
        <v>17.432887501</v>
      </c>
      <c r="H36" s="126" cm="1">
        <f t="array" ref="H36">IF(LOOKUP(2,1/($A$24:$A36&lt;&gt;""),$A$24:$A36)&lt;2025,0,IFERROR(GETPIVOTDATA("Summe von "&amp;LOOKUP(2,1/($A$24:$A36&lt;&gt;""),$A$24:$A36),$A$3,"Scenario",$B36,"Subsector",H$23),0))</f>
        <v>16.795999999999999</v>
      </c>
      <c r="I36" s="126" cm="1">
        <f t="array" ref="I36">IF(LOOKUP(2,1/($A$24:$A36&lt;&gt;""),$A$24:$A36)&lt;2025,0,IFERROR(GETPIVOTDATA("Summe von "&amp;LOOKUP(2,1/($A$24:$A36&lt;&gt;""),$A$24:$A36),$A$3,"Scenario",$B36,"Subsector",I$23),0))</f>
        <v>3.7010000000000005</v>
      </c>
    </row>
    <row r="37" spans="1:9" x14ac:dyDescent="0.25">
      <c r="A37" s="117"/>
      <c r="B37" s="106" t="s">
        <v>5</v>
      </c>
      <c r="C37" s="126" cm="1">
        <f t="array" ref="C37">IF(LOOKUP(2,1/($A$24:$A37&lt;&gt;""),$A$24:$A37)&lt;2025,0,IFERROR(GETPIVOTDATA("Summe von "&amp;LOOKUP(2,1/($A$24:$A37&lt;&gt;""),$A$24:$A37),$A$3,"Scenario",$B37,"Subsector",C$23),0))</f>
        <v>10.766591305000002</v>
      </c>
      <c r="D37" s="126" cm="1">
        <f t="array" ref="D37">IF(LOOKUP(2,1/($A$24:$A37&lt;&gt;""),$A$24:$A37)&lt;2025,0,IFERROR(GETPIVOTDATA("Summe von "&amp;LOOKUP(2,1/($A$24:$A37&lt;&gt;""),$A$24:$A37),$A$3,"Scenario",$B37,"Subsector",D$23),0))</f>
        <v>0</v>
      </c>
      <c r="E37" s="126" cm="1">
        <f t="array" ref="E37">IF(LOOKUP(2,1/($A$24:$A37&lt;&gt;""),$A$24:$A37)&lt;2025,0,IFERROR(GETPIVOTDATA("Summe von "&amp;LOOKUP(2,1/($A$24:$A37&lt;&gt;""),$A$24:$A37),$A$3,"Scenario",$B37,"Subsector",E$23),0))</f>
        <v>0</v>
      </c>
      <c r="F37" s="126" cm="1">
        <f t="array" ref="F37">IF(LOOKUP(2,1/($A$24:$A37&lt;&gt;""),$A$24:$A37)&lt;2025,0,IFERROR(GETPIVOTDATA("Summe von "&amp;LOOKUP(2,1/($A$24:$A37&lt;&gt;""),$A$24:$A37),$A$3,"Scenario",$B37,"Subsector",F$23),0))</f>
        <v>2.9999999630000005</v>
      </c>
      <c r="G37" s="126" cm="1">
        <f t="array" ref="G37">IF(LOOKUP(2,1/($A$24:$A37&lt;&gt;""),$A$24:$A37)&lt;2025,0,IFERROR(GETPIVOTDATA("Summe von "&amp;LOOKUP(2,1/($A$24:$A37&lt;&gt;""),$A$24:$A37),$A$3,"Scenario",$B37,"Subsector",G$23),0))</f>
        <v>17.432887501</v>
      </c>
      <c r="H37" s="126" cm="1">
        <f t="array" ref="H37">IF(LOOKUP(2,1/($A$24:$A37&lt;&gt;""),$A$24:$A37)&lt;2025,0,IFERROR(GETPIVOTDATA("Summe von "&amp;LOOKUP(2,1/($A$24:$A37&lt;&gt;""),$A$24:$A37),$A$3,"Scenario",$B37,"Subsector",H$23),0))</f>
        <v>0</v>
      </c>
      <c r="I37" s="126" cm="1">
        <f t="array" ref="I37">IF(LOOKUP(2,1/($A$24:$A37&lt;&gt;""),$A$24:$A37)&lt;2025,0,IFERROR(GETPIVOTDATA("Summe von "&amp;LOOKUP(2,1/($A$24:$A37&lt;&gt;""),$A$24:$A37),$A$3,"Scenario",$B37,"Subsector",I$23),0))</f>
        <v>0</v>
      </c>
    </row>
    <row r="38" spans="1:9" x14ac:dyDescent="0.25">
      <c r="A38" s="103"/>
    </row>
    <row r="39" spans="1:9" x14ac:dyDescent="0.25">
      <c r="A39" s="103"/>
    </row>
    <row r="40" spans="1:9" x14ac:dyDescent="0.25">
      <c r="A40" s="103"/>
    </row>
    <row r="41" spans="1:9" x14ac:dyDescent="0.25">
      <c r="A41" s="104"/>
      <c r="B41" s="105"/>
      <c r="C41" s="105"/>
      <c r="D41" s="105"/>
      <c r="E41" s="105"/>
      <c r="F41" s="105"/>
      <c r="G41" s="105"/>
      <c r="H41" s="105"/>
    </row>
    <row r="42" spans="1:9" x14ac:dyDescent="0.25">
      <c r="A42" s="103"/>
    </row>
    <row r="43" spans="1:9" x14ac:dyDescent="0.25">
      <c r="A43" s="103"/>
    </row>
    <row r="44" spans="1:9" x14ac:dyDescent="0.25">
      <c r="A44" s="103"/>
    </row>
    <row r="45" spans="1:9" x14ac:dyDescent="0.25">
      <c r="A45" s="103"/>
    </row>
    <row r="46" spans="1:9" x14ac:dyDescent="0.25">
      <c r="A46" s="103"/>
    </row>
    <row r="47" spans="1:9" x14ac:dyDescent="0.25">
      <c r="A47" s="103"/>
    </row>
    <row r="48" spans="1:9" x14ac:dyDescent="0.25">
      <c r="A48" s="103"/>
    </row>
    <row r="51" spans="1:9" x14ac:dyDescent="0.25">
      <c r="A51" s="65"/>
      <c r="B51" s="65"/>
      <c r="C51" s="65"/>
      <c r="D51" s="65"/>
      <c r="E51" s="65"/>
      <c r="F51" s="65"/>
      <c r="G51" s="65"/>
      <c r="H51" s="65"/>
      <c r="I51" s="65"/>
    </row>
    <row r="52" spans="1:9" x14ac:dyDescent="0.25">
      <c r="A52" s="119"/>
      <c r="B52" s="65"/>
      <c r="C52" s="124"/>
      <c r="D52" s="124"/>
      <c r="E52" s="124"/>
      <c r="F52" s="124"/>
      <c r="G52" s="124"/>
      <c r="H52" s="124"/>
      <c r="I52" s="124"/>
    </row>
    <row r="53" spans="1:9" x14ac:dyDescent="0.25">
      <c r="A53" s="119"/>
      <c r="B53" s="65"/>
      <c r="C53" s="124"/>
      <c r="D53" s="124"/>
      <c r="E53" s="124"/>
      <c r="F53" s="124"/>
      <c r="G53" s="124"/>
      <c r="H53" s="124"/>
      <c r="I53" s="124"/>
    </row>
    <row r="54" spans="1:9" x14ac:dyDescent="0.25">
      <c r="A54" s="119"/>
      <c r="B54" s="65"/>
      <c r="C54" s="124"/>
      <c r="D54" s="124"/>
      <c r="E54" s="124"/>
      <c r="F54" s="124"/>
      <c r="G54" s="124"/>
      <c r="H54" s="124"/>
      <c r="I54" s="124"/>
    </row>
    <row r="55" spans="1:9" x14ac:dyDescent="0.25">
      <c r="A55" s="119"/>
      <c r="B55" s="65"/>
      <c r="C55" s="124"/>
      <c r="D55" s="124"/>
      <c r="E55" s="124"/>
      <c r="F55" s="124"/>
      <c r="G55" s="124"/>
      <c r="H55" s="124"/>
      <c r="I55" s="124"/>
    </row>
    <row r="56" spans="1:9" x14ac:dyDescent="0.25">
      <c r="A56" s="119"/>
      <c r="B56" s="65"/>
      <c r="C56" s="124"/>
      <c r="D56" s="124"/>
      <c r="E56" s="124"/>
      <c r="F56" s="124"/>
      <c r="G56" s="124"/>
      <c r="H56" s="124"/>
      <c r="I56" s="124"/>
    </row>
    <row r="57" spans="1:9" x14ac:dyDescent="0.25">
      <c r="A57" s="119"/>
      <c r="B57" s="65"/>
      <c r="C57" s="124"/>
      <c r="D57" s="124"/>
      <c r="E57" s="124"/>
      <c r="F57" s="124"/>
      <c r="G57" s="124"/>
      <c r="H57" s="124"/>
      <c r="I57" s="124"/>
    </row>
    <row r="58" spans="1:9" x14ac:dyDescent="0.25">
      <c r="A58" s="120"/>
      <c r="B58" s="65"/>
      <c r="C58" s="124"/>
      <c r="D58" s="124"/>
      <c r="E58" s="124"/>
      <c r="F58" s="124"/>
      <c r="G58" s="124"/>
      <c r="H58" s="124"/>
      <c r="I58" s="124"/>
    </row>
    <row r="59" spans="1:9" x14ac:dyDescent="0.25">
      <c r="A59" s="118"/>
      <c r="B59" s="65"/>
      <c r="C59" s="124"/>
      <c r="D59" s="124"/>
      <c r="E59" s="124"/>
      <c r="F59" s="124"/>
      <c r="G59" s="124"/>
      <c r="H59" s="124"/>
      <c r="I59" s="124"/>
    </row>
    <row r="60" spans="1:9" x14ac:dyDescent="0.25">
      <c r="A60" s="119"/>
      <c r="B60" s="65"/>
      <c r="C60" s="124"/>
      <c r="D60" s="124"/>
      <c r="E60" s="124"/>
      <c r="F60" s="124"/>
      <c r="G60" s="124"/>
      <c r="H60" s="124"/>
      <c r="I60" s="124"/>
    </row>
    <row r="61" spans="1:9" x14ac:dyDescent="0.25">
      <c r="A61" s="119"/>
      <c r="B61" s="65"/>
      <c r="C61" s="124"/>
      <c r="D61" s="124"/>
      <c r="E61" s="124"/>
      <c r="F61" s="124"/>
      <c r="G61" s="124"/>
      <c r="H61" s="124"/>
      <c r="I61" s="124"/>
    </row>
    <row r="62" spans="1:9" x14ac:dyDescent="0.25">
      <c r="A62" s="119"/>
      <c r="B62" s="65"/>
      <c r="C62" s="124"/>
      <c r="D62" s="124"/>
      <c r="E62" s="124"/>
      <c r="F62" s="124"/>
      <c r="G62" s="124"/>
      <c r="H62" s="124"/>
      <c r="I62" s="124"/>
    </row>
    <row r="63" spans="1:9" x14ac:dyDescent="0.25">
      <c r="A63" s="119"/>
      <c r="B63" s="65"/>
      <c r="C63" s="124"/>
      <c r="D63" s="124"/>
      <c r="E63" s="124"/>
      <c r="F63" s="124"/>
      <c r="G63" s="124"/>
      <c r="H63" s="124"/>
      <c r="I63" s="124"/>
    </row>
    <row r="64" spans="1:9" x14ac:dyDescent="0.25">
      <c r="A64" s="120"/>
      <c r="B64" s="65"/>
      <c r="C64" s="124"/>
      <c r="D64" s="124"/>
      <c r="E64" s="124"/>
      <c r="F64" s="124"/>
      <c r="G64" s="124"/>
      <c r="H64" s="124"/>
      <c r="I64" s="124"/>
    </row>
    <row r="65" spans="2:9" x14ac:dyDescent="0.25">
      <c r="B65" s="103"/>
      <c r="C65" s="124"/>
      <c r="D65" s="124"/>
      <c r="E65" s="124"/>
      <c r="F65" s="124"/>
      <c r="G65" s="124"/>
      <c r="H65" s="124"/>
      <c r="I65" s="124"/>
    </row>
  </sheetData>
  <mergeCells count="9">
    <mergeCell ref="A32:A33"/>
    <mergeCell ref="A34:A35"/>
    <mergeCell ref="A36:A37"/>
    <mergeCell ref="A59:A64"/>
    <mergeCell ref="A52:A58"/>
    <mergeCell ref="A24:A25"/>
    <mergeCell ref="A26:A27"/>
    <mergeCell ref="A28:A29"/>
    <mergeCell ref="A30:A31"/>
  </mergeCells>
  <pageMargins left="0.7" right="0.7" top="0.78740157499999996" bottom="0.78740157499999996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5335-4FA7-422E-86AB-FCAD2C71D63C}">
  <dimension ref="A1:S478"/>
  <sheetViews>
    <sheetView topLeftCell="B137" workbookViewId="0">
      <selection sqref="A1:S176"/>
    </sheetView>
  </sheetViews>
  <sheetFormatPr baseColWidth="10" defaultRowHeight="15" x14ac:dyDescent="0.25"/>
  <cols>
    <col min="1" max="1" width="27.42578125" bestFit="1" customWidth="1"/>
    <col min="3" max="3" width="17.7109375" bestFit="1" customWidth="1"/>
    <col min="6" max="6" width="37.42578125" bestFit="1" customWidth="1"/>
    <col min="7" max="7" width="26.5703125" bestFit="1" customWidth="1"/>
  </cols>
  <sheetData>
    <row r="1" spans="1:19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0</v>
      </c>
      <c r="K1" t="s">
        <v>1</v>
      </c>
      <c r="L1" t="s">
        <v>87</v>
      </c>
      <c r="M1">
        <v>2021</v>
      </c>
      <c r="N1">
        <v>2025</v>
      </c>
      <c r="O1">
        <v>2030</v>
      </c>
      <c r="P1">
        <v>2035</v>
      </c>
      <c r="Q1">
        <v>2040</v>
      </c>
      <c r="R1">
        <v>2045</v>
      </c>
      <c r="S1">
        <v>2050</v>
      </c>
    </row>
    <row r="2" spans="1:19" x14ac:dyDescent="0.25">
      <c r="A2" t="s">
        <v>5</v>
      </c>
      <c r="B2" t="s">
        <v>88</v>
      </c>
      <c r="C2" t="s">
        <v>89</v>
      </c>
      <c r="D2" t="s">
        <v>3</v>
      </c>
      <c r="E2" t="s">
        <v>90</v>
      </c>
      <c r="F2" t="s">
        <v>91</v>
      </c>
      <c r="G2" t="s">
        <v>6</v>
      </c>
      <c r="H2" t="s">
        <v>92</v>
      </c>
      <c r="J2">
        <v>48.653686829999998</v>
      </c>
      <c r="K2">
        <v>10.16246767</v>
      </c>
      <c r="L2" t="s">
        <v>4</v>
      </c>
      <c r="M2">
        <v>0.413052963</v>
      </c>
      <c r="N2">
        <v>0.36142134300000001</v>
      </c>
      <c r="O2">
        <v>0.39179288400000001</v>
      </c>
      <c r="P2">
        <v>0.35838418900000002</v>
      </c>
      <c r="Q2">
        <v>0.32801264699999999</v>
      </c>
      <c r="R2">
        <v>0.294603952</v>
      </c>
      <c r="S2">
        <v>0.294603952</v>
      </c>
    </row>
    <row r="3" spans="1:19" x14ac:dyDescent="0.25">
      <c r="A3" t="s">
        <v>5</v>
      </c>
      <c r="B3" t="s">
        <v>88</v>
      </c>
      <c r="C3" t="s">
        <v>89</v>
      </c>
      <c r="D3" t="s">
        <v>3</v>
      </c>
      <c r="E3" t="s">
        <v>93</v>
      </c>
      <c r="F3" t="s">
        <v>94</v>
      </c>
      <c r="G3" t="s">
        <v>6</v>
      </c>
      <c r="H3" t="s">
        <v>92</v>
      </c>
      <c r="J3">
        <v>49.357679390000001</v>
      </c>
      <c r="K3">
        <v>8.6858323980000005</v>
      </c>
      <c r="L3" t="s">
        <v>4</v>
      </c>
      <c r="M3">
        <v>0.383086916</v>
      </c>
      <c r="N3">
        <v>0.383086916</v>
      </c>
      <c r="O3">
        <v>0.33520105100000003</v>
      </c>
      <c r="P3">
        <v>0.36336920700000003</v>
      </c>
      <c r="Q3">
        <v>0.332384236</v>
      </c>
      <c r="R3">
        <v>0.30421608</v>
      </c>
      <c r="S3">
        <v>0.30421608</v>
      </c>
    </row>
    <row r="4" spans="1:19" x14ac:dyDescent="0.25">
      <c r="A4" t="s">
        <v>5</v>
      </c>
      <c r="B4" t="s">
        <v>88</v>
      </c>
      <c r="C4" t="s">
        <v>89</v>
      </c>
      <c r="D4" t="s">
        <v>3</v>
      </c>
      <c r="E4" t="s">
        <v>95</v>
      </c>
      <c r="F4" t="s">
        <v>96</v>
      </c>
      <c r="G4" t="s">
        <v>6</v>
      </c>
      <c r="H4" t="s">
        <v>92</v>
      </c>
      <c r="J4">
        <v>49.018412980000001</v>
      </c>
      <c r="K4">
        <v>8.6124897310000001</v>
      </c>
      <c r="L4" t="s">
        <v>4</v>
      </c>
      <c r="M4">
        <v>0.35976087899999998</v>
      </c>
      <c r="N4">
        <v>0.35976087899999998</v>
      </c>
      <c r="O4">
        <v>0.31479076900000003</v>
      </c>
      <c r="P4">
        <v>0.34124377500000003</v>
      </c>
      <c r="Q4">
        <v>0.31214546799999998</v>
      </c>
      <c r="R4">
        <v>0.28569246300000001</v>
      </c>
      <c r="S4">
        <v>0.28569246300000001</v>
      </c>
    </row>
    <row r="5" spans="1:19" x14ac:dyDescent="0.25">
      <c r="A5" t="s">
        <v>5</v>
      </c>
      <c r="B5" t="s">
        <v>88</v>
      </c>
      <c r="C5" t="s">
        <v>89</v>
      </c>
      <c r="D5" t="s">
        <v>3</v>
      </c>
      <c r="E5" t="s">
        <v>97</v>
      </c>
      <c r="F5" t="s">
        <v>98</v>
      </c>
      <c r="G5" t="s">
        <v>6</v>
      </c>
      <c r="H5" t="s">
        <v>92</v>
      </c>
      <c r="J5">
        <v>48.331986280000002</v>
      </c>
      <c r="K5">
        <v>9.7304687479999998</v>
      </c>
      <c r="L5" t="s">
        <v>4</v>
      </c>
      <c r="M5">
        <v>0.45278303800000003</v>
      </c>
      <c r="N5">
        <v>0.45278303800000003</v>
      </c>
      <c r="O5">
        <v>0.39618515799999998</v>
      </c>
      <c r="P5">
        <v>0.42947802899999998</v>
      </c>
      <c r="Q5">
        <v>0.39285587100000002</v>
      </c>
      <c r="R5">
        <v>0.35956300099999999</v>
      </c>
      <c r="S5">
        <v>0.35956300099999999</v>
      </c>
    </row>
    <row r="6" spans="1:19" x14ac:dyDescent="0.25">
      <c r="A6" t="s">
        <v>5</v>
      </c>
      <c r="B6" t="s">
        <v>88</v>
      </c>
      <c r="C6" t="s">
        <v>89</v>
      </c>
      <c r="D6" t="s">
        <v>3</v>
      </c>
      <c r="E6" t="s">
        <v>97</v>
      </c>
      <c r="F6" t="s">
        <v>98</v>
      </c>
      <c r="G6" t="s">
        <v>6</v>
      </c>
      <c r="H6" t="s">
        <v>92</v>
      </c>
      <c r="J6">
        <v>48.368603120000003</v>
      </c>
      <c r="K6">
        <v>9.7346784</v>
      </c>
      <c r="L6" t="s">
        <v>4</v>
      </c>
      <c r="M6">
        <v>0.60784703699999998</v>
      </c>
      <c r="N6">
        <v>0.60784703699999998</v>
      </c>
      <c r="O6">
        <v>0.53186615699999995</v>
      </c>
      <c r="P6">
        <v>0.57656079199999999</v>
      </c>
      <c r="Q6">
        <v>0.527396694</v>
      </c>
      <c r="R6">
        <v>0.48270205900000002</v>
      </c>
      <c r="S6">
        <v>0.48270205900000002</v>
      </c>
    </row>
    <row r="7" spans="1:19" x14ac:dyDescent="0.25">
      <c r="A7" t="s">
        <v>5</v>
      </c>
      <c r="B7" t="s">
        <v>88</v>
      </c>
      <c r="C7" t="s">
        <v>89</v>
      </c>
      <c r="D7" t="s">
        <v>3</v>
      </c>
      <c r="E7" t="s">
        <v>99</v>
      </c>
      <c r="F7" t="s">
        <v>100</v>
      </c>
      <c r="G7" t="s">
        <v>6</v>
      </c>
      <c r="H7" t="s">
        <v>92</v>
      </c>
      <c r="J7">
        <v>48.227041210000003</v>
      </c>
      <c r="K7">
        <v>8.7790961079999992</v>
      </c>
      <c r="L7" t="s">
        <v>4</v>
      </c>
      <c r="M7">
        <v>0.52629559800000003</v>
      </c>
      <c r="N7">
        <v>0.52629559800000003</v>
      </c>
      <c r="O7">
        <v>0.46050864800000002</v>
      </c>
      <c r="P7">
        <v>0.49920685399999998</v>
      </c>
      <c r="Q7">
        <v>0.45663882700000002</v>
      </c>
      <c r="R7">
        <v>0.41794062199999998</v>
      </c>
      <c r="S7">
        <v>0.41794062199999998</v>
      </c>
    </row>
    <row r="8" spans="1:19" x14ac:dyDescent="0.25">
      <c r="A8" t="s">
        <v>5</v>
      </c>
      <c r="B8" t="s">
        <v>88</v>
      </c>
      <c r="C8" t="s">
        <v>89</v>
      </c>
      <c r="D8" t="s">
        <v>3</v>
      </c>
      <c r="E8" t="s">
        <v>101</v>
      </c>
      <c r="F8" t="s">
        <v>102</v>
      </c>
      <c r="G8" t="s">
        <v>6</v>
      </c>
      <c r="H8" t="s">
        <v>92</v>
      </c>
      <c r="J8">
        <v>53.874164919999998</v>
      </c>
      <c r="K8">
        <v>9.5832685959999999</v>
      </c>
      <c r="L8" t="s">
        <v>4</v>
      </c>
      <c r="M8">
        <v>0.79108328400000005</v>
      </c>
      <c r="N8">
        <v>0.79108328400000005</v>
      </c>
      <c r="O8">
        <v>0.69219787300000002</v>
      </c>
      <c r="P8">
        <v>0.75036576200000005</v>
      </c>
      <c r="Q8">
        <v>0.68638108399999997</v>
      </c>
      <c r="R8">
        <v>0.62821319600000003</v>
      </c>
      <c r="S8">
        <v>0.62821319600000003</v>
      </c>
    </row>
    <row r="9" spans="1:19" x14ac:dyDescent="0.25">
      <c r="A9" t="s">
        <v>5</v>
      </c>
      <c r="B9" t="s">
        <v>88</v>
      </c>
      <c r="C9" t="s">
        <v>89</v>
      </c>
      <c r="D9" t="s">
        <v>3</v>
      </c>
      <c r="E9" t="s">
        <v>103</v>
      </c>
      <c r="F9" t="s">
        <v>104</v>
      </c>
      <c r="G9" t="s">
        <v>6</v>
      </c>
      <c r="H9" t="s">
        <v>92</v>
      </c>
      <c r="J9">
        <v>52.349831299999998</v>
      </c>
      <c r="K9">
        <v>9.8859338710000007</v>
      </c>
      <c r="L9" t="s">
        <v>4</v>
      </c>
      <c r="M9">
        <v>0.46625867999999998</v>
      </c>
      <c r="N9">
        <v>0.46625867999999998</v>
      </c>
      <c r="O9">
        <v>0.40797634500000002</v>
      </c>
      <c r="P9">
        <v>0.44226007099999998</v>
      </c>
      <c r="Q9">
        <v>0.40454797199999998</v>
      </c>
      <c r="R9">
        <v>0.37026424600000002</v>
      </c>
      <c r="S9">
        <v>0.37026424600000002</v>
      </c>
    </row>
    <row r="10" spans="1:19" x14ac:dyDescent="0.25">
      <c r="A10" t="s">
        <v>5</v>
      </c>
      <c r="B10" t="s">
        <v>88</v>
      </c>
      <c r="C10" t="s">
        <v>89</v>
      </c>
      <c r="D10" t="s">
        <v>3</v>
      </c>
      <c r="E10" t="s">
        <v>105</v>
      </c>
      <c r="F10" t="s">
        <v>106</v>
      </c>
      <c r="G10" t="s">
        <v>6</v>
      </c>
      <c r="H10" t="s">
        <v>92</v>
      </c>
      <c r="J10">
        <v>51.765173730000001</v>
      </c>
      <c r="K10">
        <v>8.0540287880000001</v>
      </c>
      <c r="L10" t="s">
        <v>4</v>
      </c>
      <c r="M10">
        <v>0.41116984299999998</v>
      </c>
      <c r="N10">
        <v>0.41116984299999998</v>
      </c>
      <c r="O10">
        <v>0.35977361299999999</v>
      </c>
      <c r="P10">
        <v>0.39000668900000002</v>
      </c>
      <c r="Q10">
        <v>0.35675030499999999</v>
      </c>
      <c r="R10">
        <v>0.32651722799999999</v>
      </c>
      <c r="S10">
        <v>0.32651722799999999</v>
      </c>
    </row>
    <row r="11" spans="1:19" x14ac:dyDescent="0.25">
      <c r="A11" t="s">
        <v>5</v>
      </c>
      <c r="B11" t="s">
        <v>88</v>
      </c>
      <c r="C11" t="s">
        <v>89</v>
      </c>
      <c r="D11" t="s">
        <v>3</v>
      </c>
      <c r="E11" t="s">
        <v>107</v>
      </c>
      <c r="F11" t="s">
        <v>108</v>
      </c>
      <c r="G11" t="s">
        <v>6</v>
      </c>
      <c r="H11" t="s">
        <v>92</v>
      </c>
      <c r="J11">
        <v>52.174985890000002</v>
      </c>
      <c r="K11">
        <v>7.8878276410000003</v>
      </c>
      <c r="L11" t="s">
        <v>4</v>
      </c>
      <c r="M11">
        <v>0.78009607700000005</v>
      </c>
      <c r="N11">
        <v>0.78009607700000005</v>
      </c>
      <c r="O11">
        <v>0.68258406800000004</v>
      </c>
      <c r="P11">
        <v>0.73994407299999998</v>
      </c>
      <c r="Q11">
        <v>0.676848067</v>
      </c>
      <c r="R11">
        <v>0.61948806099999998</v>
      </c>
      <c r="S11">
        <v>0.61948806099999998</v>
      </c>
    </row>
    <row r="12" spans="1:19" x14ac:dyDescent="0.25">
      <c r="A12" t="s">
        <v>5</v>
      </c>
      <c r="B12" t="s">
        <v>88</v>
      </c>
      <c r="C12" t="s">
        <v>89</v>
      </c>
      <c r="D12" t="s">
        <v>3</v>
      </c>
      <c r="E12" t="s">
        <v>109</v>
      </c>
      <c r="F12" t="s">
        <v>110</v>
      </c>
      <c r="G12" t="s">
        <v>6</v>
      </c>
      <c r="H12" t="s">
        <v>92</v>
      </c>
      <c r="J12">
        <v>51.698988470000003</v>
      </c>
      <c r="K12">
        <v>8.7470409070000006</v>
      </c>
      <c r="L12" t="s">
        <v>4</v>
      </c>
      <c r="M12">
        <v>0.16345647099999999</v>
      </c>
      <c r="N12">
        <v>0.16345647099999999</v>
      </c>
      <c r="O12">
        <v>0.14302441199999999</v>
      </c>
      <c r="P12">
        <v>0.15504327000000001</v>
      </c>
      <c r="Q12">
        <v>0.141822526</v>
      </c>
      <c r="R12">
        <v>0.12980366800000001</v>
      </c>
      <c r="S12">
        <v>0.12980366800000001</v>
      </c>
    </row>
    <row r="13" spans="1:19" x14ac:dyDescent="0.25">
      <c r="A13" t="s">
        <v>5</v>
      </c>
      <c r="B13" t="s">
        <v>88</v>
      </c>
      <c r="C13" t="s">
        <v>89</v>
      </c>
      <c r="D13" t="s">
        <v>3</v>
      </c>
      <c r="E13" t="s">
        <v>111</v>
      </c>
      <c r="F13" t="s">
        <v>112</v>
      </c>
      <c r="G13" t="s">
        <v>6</v>
      </c>
      <c r="H13" t="s">
        <v>92</v>
      </c>
      <c r="J13">
        <v>51.62256052</v>
      </c>
      <c r="K13">
        <v>8.5043928809999993</v>
      </c>
      <c r="L13" t="s">
        <v>4</v>
      </c>
      <c r="M13">
        <v>0.18801528300000001</v>
      </c>
      <c r="N13">
        <v>0.18801528300000001</v>
      </c>
      <c r="O13">
        <v>0.16451337299999999</v>
      </c>
      <c r="P13">
        <v>0.17833802600000001</v>
      </c>
      <c r="Q13">
        <v>0.16313090699999999</v>
      </c>
      <c r="R13">
        <v>0.149306254</v>
      </c>
      <c r="S13">
        <v>0.149306254</v>
      </c>
    </row>
    <row r="14" spans="1:19" x14ac:dyDescent="0.25">
      <c r="A14" t="s">
        <v>5</v>
      </c>
      <c r="B14" t="s">
        <v>88</v>
      </c>
      <c r="C14" t="s">
        <v>89</v>
      </c>
      <c r="D14" t="s">
        <v>3</v>
      </c>
      <c r="E14" t="s">
        <v>111</v>
      </c>
      <c r="F14" t="s">
        <v>112</v>
      </c>
      <c r="G14" t="s">
        <v>6</v>
      </c>
      <c r="H14" t="s">
        <v>92</v>
      </c>
      <c r="J14">
        <v>51.597210140000001</v>
      </c>
      <c r="K14">
        <v>8.3346819449999998</v>
      </c>
      <c r="L14" t="s">
        <v>4</v>
      </c>
      <c r="M14">
        <v>0.28201554299999998</v>
      </c>
      <c r="N14">
        <v>0.28201554299999998</v>
      </c>
      <c r="O14">
        <v>0.2467636</v>
      </c>
      <c r="P14">
        <v>0.26750003700000002</v>
      </c>
      <c r="Q14">
        <v>0.24468995599999999</v>
      </c>
      <c r="R14">
        <v>0.22395351899999999</v>
      </c>
      <c r="S14">
        <v>0.22395351899999999</v>
      </c>
    </row>
    <row r="15" spans="1:19" x14ac:dyDescent="0.25">
      <c r="A15" t="s">
        <v>5</v>
      </c>
      <c r="B15" t="s">
        <v>88</v>
      </c>
      <c r="C15" t="s">
        <v>89</v>
      </c>
      <c r="D15" t="s">
        <v>3</v>
      </c>
      <c r="E15" t="s">
        <v>111</v>
      </c>
      <c r="F15" t="s">
        <v>112</v>
      </c>
      <c r="G15" t="s">
        <v>6</v>
      </c>
      <c r="H15" t="s">
        <v>92</v>
      </c>
      <c r="J15">
        <v>51.594684739999998</v>
      </c>
      <c r="K15">
        <v>8.3349065200000005</v>
      </c>
      <c r="L15" t="s">
        <v>4</v>
      </c>
      <c r="M15">
        <v>0.41794125100000001</v>
      </c>
      <c r="N15">
        <v>0.41794125100000001</v>
      </c>
      <c r="O15">
        <v>0.36569859500000002</v>
      </c>
      <c r="P15">
        <v>0.39642956899999998</v>
      </c>
      <c r="Q15">
        <v>0.36262549799999999</v>
      </c>
      <c r="R15">
        <v>0.331894523</v>
      </c>
      <c r="S15">
        <v>0.331894523</v>
      </c>
    </row>
    <row r="16" spans="1:19" x14ac:dyDescent="0.25">
      <c r="A16" t="s">
        <v>5</v>
      </c>
      <c r="B16" t="s">
        <v>88</v>
      </c>
      <c r="C16" t="s">
        <v>89</v>
      </c>
      <c r="D16" t="s">
        <v>3</v>
      </c>
      <c r="E16" t="s">
        <v>111</v>
      </c>
      <c r="F16" t="s">
        <v>112</v>
      </c>
      <c r="G16" t="s">
        <v>6</v>
      </c>
      <c r="H16" t="s">
        <v>92</v>
      </c>
      <c r="J16">
        <v>51.601120729999998</v>
      </c>
      <c r="K16">
        <v>8.3361264300000002</v>
      </c>
      <c r="L16" t="s">
        <v>4</v>
      </c>
      <c r="M16">
        <v>0.52548137500000003</v>
      </c>
      <c r="N16">
        <v>0.52548137500000003</v>
      </c>
      <c r="O16">
        <v>0.45979620300000001</v>
      </c>
      <c r="P16">
        <v>0.49843453999999998</v>
      </c>
      <c r="Q16">
        <v>0.45593236999999998</v>
      </c>
      <c r="R16">
        <v>0.41729403300000001</v>
      </c>
      <c r="S16">
        <v>0.41729403300000001</v>
      </c>
    </row>
    <row r="17" spans="1:19" x14ac:dyDescent="0.25">
      <c r="A17" t="s">
        <v>5</v>
      </c>
      <c r="B17" t="s">
        <v>88</v>
      </c>
      <c r="C17" t="s">
        <v>89</v>
      </c>
      <c r="D17" t="s">
        <v>3</v>
      </c>
      <c r="E17" t="s">
        <v>113</v>
      </c>
      <c r="F17" t="s">
        <v>114</v>
      </c>
      <c r="G17" t="s">
        <v>6</v>
      </c>
      <c r="H17" t="s">
        <v>92</v>
      </c>
      <c r="J17">
        <v>50.031909560000003</v>
      </c>
      <c r="K17">
        <v>8.2570017539999991</v>
      </c>
      <c r="L17" t="s">
        <v>4</v>
      </c>
      <c r="M17">
        <v>0.12881325699999999</v>
      </c>
      <c r="N17">
        <v>0.12881325699999999</v>
      </c>
      <c r="O17">
        <v>0.1127116</v>
      </c>
      <c r="P17">
        <v>0.122183163</v>
      </c>
      <c r="Q17">
        <v>0.111764443</v>
      </c>
      <c r="R17">
        <v>0.10229288</v>
      </c>
      <c r="S17">
        <v>0.10229288</v>
      </c>
    </row>
    <row r="18" spans="1:19" x14ac:dyDescent="0.25">
      <c r="A18" t="s">
        <v>5</v>
      </c>
      <c r="B18" t="s">
        <v>88</v>
      </c>
      <c r="C18" t="s">
        <v>89</v>
      </c>
      <c r="D18" t="s">
        <v>3</v>
      </c>
      <c r="E18" t="s">
        <v>115</v>
      </c>
      <c r="F18" t="s">
        <v>116</v>
      </c>
      <c r="G18" t="s">
        <v>6</v>
      </c>
      <c r="H18" t="s">
        <v>92</v>
      </c>
      <c r="J18">
        <v>50.584524440000003</v>
      </c>
      <c r="K18">
        <v>9.5095189270000002</v>
      </c>
      <c r="L18" t="s">
        <v>4</v>
      </c>
      <c r="M18">
        <v>0.104529789</v>
      </c>
      <c r="N18">
        <v>0.104529789</v>
      </c>
      <c r="O18">
        <v>9.1463564999999997E-2</v>
      </c>
      <c r="P18">
        <v>9.9149579000000002E-2</v>
      </c>
      <c r="Q18">
        <v>9.0694964000000003E-2</v>
      </c>
      <c r="R18">
        <v>8.3008949999999998E-2</v>
      </c>
      <c r="S18">
        <v>8.3008949999999998E-2</v>
      </c>
    </row>
    <row r="19" spans="1:19" x14ac:dyDescent="0.25">
      <c r="A19" t="s">
        <v>5</v>
      </c>
      <c r="B19" t="s">
        <v>88</v>
      </c>
      <c r="C19" t="s">
        <v>89</v>
      </c>
      <c r="D19" t="s">
        <v>3</v>
      </c>
      <c r="E19" t="s">
        <v>117</v>
      </c>
      <c r="F19" t="s">
        <v>118</v>
      </c>
      <c r="G19" t="s">
        <v>6</v>
      </c>
      <c r="H19" t="s">
        <v>92</v>
      </c>
      <c r="J19">
        <v>50.333990059999998</v>
      </c>
      <c r="K19">
        <v>6.7668281370000001</v>
      </c>
      <c r="L19" t="s">
        <v>4</v>
      </c>
      <c r="M19">
        <v>0.13159180100000001</v>
      </c>
      <c r="N19">
        <v>0.13159180100000001</v>
      </c>
      <c r="O19">
        <v>0.115142825</v>
      </c>
      <c r="P19">
        <v>0.12481869299999999</v>
      </c>
      <c r="Q19">
        <v>0.114175239</v>
      </c>
      <c r="R19">
        <v>0.10449937099999999</v>
      </c>
      <c r="S19">
        <v>0.10449937099999999</v>
      </c>
    </row>
    <row r="20" spans="1:19" x14ac:dyDescent="0.25">
      <c r="A20" t="s">
        <v>5</v>
      </c>
      <c r="B20" t="s">
        <v>88</v>
      </c>
      <c r="C20" t="s">
        <v>89</v>
      </c>
      <c r="D20" t="s">
        <v>3</v>
      </c>
      <c r="E20" t="s">
        <v>119</v>
      </c>
      <c r="F20" t="s">
        <v>120</v>
      </c>
      <c r="G20" t="s">
        <v>6</v>
      </c>
      <c r="H20" t="s">
        <v>92</v>
      </c>
      <c r="J20">
        <v>49.601018850000003</v>
      </c>
      <c r="K20">
        <v>8.0413779420000004</v>
      </c>
      <c r="L20" t="s">
        <v>4</v>
      </c>
      <c r="M20">
        <v>0.52443019400000002</v>
      </c>
      <c r="N20">
        <v>0.52443019400000002</v>
      </c>
      <c r="O20">
        <v>0.45887642000000001</v>
      </c>
      <c r="P20">
        <v>0.49743746300000002</v>
      </c>
      <c r="Q20">
        <v>0.45502031500000001</v>
      </c>
      <c r="R20">
        <v>0.41645927199999999</v>
      </c>
      <c r="S20">
        <v>0.41645927199999999</v>
      </c>
    </row>
    <row r="21" spans="1:19" x14ac:dyDescent="0.25">
      <c r="A21" t="s">
        <v>5</v>
      </c>
      <c r="B21" t="s">
        <v>88</v>
      </c>
      <c r="C21" t="s">
        <v>89</v>
      </c>
      <c r="D21" t="s">
        <v>3</v>
      </c>
      <c r="E21" t="s">
        <v>121</v>
      </c>
      <c r="F21" t="s">
        <v>122</v>
      </c>
      <c r="G21" t="s">
        <v>6</v>
      </c>
      <c r="H21" t="s">
        <v>92</v>
      </c>
      <c r="J21">
        <v>47.790819620000001</v>
      </c>
      <c r="K21">
        <v>12.18159007</v>
      </c>
      <c r="L21" t="s">
        <v>4</v>
      </c>
      <c r="M21">
        <v>0.56116026799999996</v>
      </c>
      <c r="N21">
        <v>0.56116026799999996</v>
      </c>
      <c r="O21">
        <v>0.49101523499999999</v>
      </c>
      <c r="P21">
        <v>0.53227701900000002</v>
      </c>
      <c r="Q21">
        <v>0.48688905599999999</v>
      </c>
      <c r="R21">
        <v>0.44562727200000002</v>
      </c>
      <c r="S21">
        <v>0.44562727200000002</v>
      </c>
    </row>
    <row r="22" spans="1:19" x14ac:dyDescent="0.25">
      <c r="A22" t="s">
        <v>5</v>
      </c>
      <c r="B22" t="s">
        <v>88</v>
      </c>
      <c r="C22" t="s">
        <v>89</v>
      </c>
      <c r="D22" t="s">
        <v>3</v>
      </c>
      <c r="E22" t="s">
        <v>123</v>
      </c>
      <c r="F22" t="s">
        <v>124</v>
      </c>
      <c r="G22" t="s">
        <v>6</v>
      </c>
      <c r="H22" t="s">
        <v>92</v>
      </c>
      <c r="J22">
        <v>49.21283244</v>
      </c>
      <c r="K22">
        <v>12.028256949999999</v>
      </c>
      <c r="L22" t="s">
        <v>4</v>
      </c>
      <c r="M22">
        <v>0.65150501599999999</v>
      </c>
      <c r="N22">
        <v>0.65150501599999999</v>
      </c>
      <c r="O22">
        <v>0.57006688900000002</v>
      </c>
      <c r="P22">
        <v>0.617971669</v>
      </c>
      <c r="Q22">
        <v>0.56527641100000003</v>
      </c>
      <c r="R22">
        <v>0.51737162999999997</v>
      </c>
      <c r="S22">
        <v>0.51737162999999997</v>
      </c>
    </row>
    <row r="23" spans="1:19" x14ac:dyDescent="0.25">
      <c r="A23" t="s">
        <v>5</v>
      </c>
      <c r="B23" t="s">
        <v>88</v>
      </c>
      <c r="C23" t="s">
        <v>89</v>
      </c>
      <c r="D23" t="s">
        <v>3</v>
      </c>
      <c r="E23" t="s">
        <v>125</v>
      </c>
      <c r="F23" t="s">
        <v>126</v>
      </c>
      <c r="G23" t="s">
        <v>6</v>
      </c>
      <c r="H23" t="s">
        <v>92</v>
      </c>
      <c r="J23">
        <v>48.884912460000002</v>
      </c>
      <c r="K23">
        <v>10.99769729</v>
      </c>
      <c r="L23" t="s">
        <v>4</v>
      </c>
      <c r="M23">
        <v>0.225386106</v>
      </c>
      <c r="N23">
        <v>0.225386106</v>
      </c>
      <c r="O23">
        <v>0.197212842</v>
      </c>
      <c r="P23">
        <v>0.21378535000000001</v>
      </c>
      <c r="Q23">
        <v>0.195555592</v>
      </c>
      <c r="R23">
        <v>0.17898308399999999</v>
      </c>
      <c r="S23">
        <v>0.17898308399999999</v>
      </c>
    </row>
    <row r="24" spans="1:19" x14ac:dyDescent="0.25">
      <c r="A24" t="s">
        <v>5</v>
      </c>
      <c r="B24" t="s">
        <v>88</v>
      </c>
      <c r="C24" t="s">
        <v>89</v>
      </c>
      <c r="D24" t="s">
        <v>3</v>
      </c>
      <c r="E24" t="s">
        <v>127</v>
      </c>
      <c r="F24" t="s">
        <v>128</v>
      </c>
      <c r="G24" t="s">
        <v>6</v>
      </c>
      <c r="H24" t="s">
        <v>92</v>
      </c>
      <c r="J24">
        <v>49.808461000000001</v>
      </c>
      <c r="K24">
        <v>9.6178912790000002</v>
      </c>
      <c r="L24" t="s">
        <v>4</v>
      </c>
      <c r="M24">
        <v>0.470449379</v>
      </c>
      <c r="N24">
        <v>0.470449379</v>
      </c>
      <c r="O24">
        <v>0.41164320700000001</v>
      </c>
      <c r="P24">
        <v>0.44623507299999998</v>
      </c>
      <c r="Q24">
        <v>0.40818401999999998</v>
      </c>
      <c r="R24">
        <v>0.37359215400000001</v>
      </c>
      <c r="S24">
        <v>0.37359215400000001</v>
      </c>
    </row>
    <row r="25" spans="1:19" x14ac:dyDescent="0.25">
      <c r="A25" t="s">
        <v>5</v>
      </c>
      <c r="B25" t="s">
        <v>88</v>
      </c>
      <c r="C25" t="s">
        <v>89</v>
      </c>
      <c r="D25" t="s">
        <v>3</v>
      </c>
      <c r="E25" t="s">
        <v>127</v>
      </c>
      <c r="F25" t="s">
        <v>128</v>
      </c>
      <c r="G25" t="s">
        <v>6</v>
      </c>
      <c r="H25" t="s">
        <v>92</v>
      </c>
      <c r="J25">
        <v>49.955004879999997</v>
      </c>
      <c r="K25">
        <v>9.7685104519999992</v>
      </c>
      <c r="L25" t="s">
        <v>4</v>
      </c>
      <c r="M25">
        <v>0.42839917599999999</v>
      </c>
      <c r="N25">
        <v>0.42839917599999999</v>
      </c>
      <c r="O25">
        <v>0.37484927899999998</v>
      </c>
      <c r="P25">
        <v>0.40634921899999998</v>
      </c>
      <c r="Q25">
        <v>0.37169928499999999</v>
      </c>
      <c r="R25">
        <v>0.34019934600000001</v>
      </c>
      <c r="S25">
        <v>0.34019934600000001</v>
      </c>
    </row>
    <row r="26" spans="1:19" x14ac:dyDescent="0.25">
      <c r="A26" t="s">
        <v>5</v>
      </c>
      <c r="B26" t="s">
        <v>88</v>
      </c>
      <c r="C26" t="s">
        <v>89</v>
      </c>
      <c r="D26" t="s">
        <v>3</v>
      </c>
      <c r="E26" t="s">
        <v>129</v>
      </c>
      <c r="F26" t="s">
        <v>130</v>
      </c>
      <c r="G26" t="s">
        <v>6</v>
      </c>
      <c r="H26" t="s">
        <v>92</v>
      </c>
      <c r="J26">
        <v>48.776732469999999</v>
      </c>
      <c r="K26">
        <v>10.70031679</v>
      </c>
      <c r="L26" t="s">
        <v>4</v>
      </c>
      <c r="M26">
        <v>0.44225867600000002</v>
      </c>
      <c r="N26">
        <v>0.44225867600000002</v>
      </c>
      <c r="O26">
        <v>0.38697634199999997</v>
      </c>
      <c r="P26">
        <v>0.41949536199999998</v>
      </c>
      <c r="Q26">
        <v>0.38372444</v>
      </c>
      <c r="R26">
        <v>0.35120541900000002</v>
      </c>
      <c r="S26">
        <v>0.35120541900000002</v>
      </c>
    </row>
    <row r="27" spans="1:19" x14ac:dyDescent="0.25">
      <c r="A27" t="s">
        <v>5</v>
      </c>
      <c r="B27" t="s">
        <v>88</v>
      </c>
      <c r="C27" t="s">
        <v>89</v>
      </c>
      <c r="D27" t="s">
        <v>3</v>
      </c>
      <c r="E27" t="s">
        <v>131</v>
      </c>
      <c r="F27" t="s">
        <v>132</v>
      </c>
      <c r="G27" t="s">
        <v>6</v>
      </c>
      <c r="H27" t="s">
        <v>92</v>
      </c>
      <c r="J27">
        <v>52.489069260000001</v>
      </c>
      <c r="K27">
        <v>13.836929169999999</v>
      </c>
      <c r="L27" t="s">
        <v>4</v>
      </c>
      <c r="M27">
        <v>0.96694575999999999</v>
      </c>
      <c r="N27">
        <v>0.96694575999999999</v>
      </c>
      <c r="O27">
        <v>0.84607754000000002</v>
      </c>
      <c r="P27">
        <v>0.91717649300000004</v>
      </c>
      <c r="Q27">
        <v>0.83896764499999998</v>
      </c>
      <c r="R27">
        <v>0.76786869199999996</v>
      </c>
      <c r="S27">
        <v>0.76786869199999996</v>
      </c>
    </row>
    <row r="28" spans="1:19" x14ac:dyDescent="0.25">
      <c r="A28" t="s">
        <v>5</v>
      </c>
      <c r="B28" t="s">
        <v>88</v>
      </c>
      <c r="C28" t="s">
        <v>89</v>
      </c>
      <c r="D28" t="s">
        <v>3</v>
      </c>
      <c r="E28" t="s">
        <v>133</v>
      </c>
      <c r="F28" t="s">
        <v>134</v>
      </c>
      <c r="G28" t="s">
        <v>6</v>
      </c>
      <c r="H28" t="s">
        <v>92</v>
      </c>
      <c r="J28">
        <v>51.816375209999997</v>
      </c>
      <c r="K28">
        <v>11.7496466</v>
      </c>
      <c r="L28" t="s">
        <v>4</v>
      </c>
      <c r="M28">
        <v>0.50412187399999997</v>
      </c>
      <c r="N28">
        <v>0.50412187399999997</v>
      </c>
      <c r="O28">
        <v>0.44110663999999999</v>
      </c>
      <c r="P28">
        <v>0.47817442500000001</v>
      </c>
      <c r="Q28">
        <v>0.437399861</v>
      </c>
      <c r="R28">
        <v>0.40033207599999998</v>
      </c>
      <c r="S28">
        <v>0.40033207599999998</v>
      </c>
    </row>
    <row r="29" spans="1:19" x14ac:dyDescent="0.25">
      <c r="A29" t="s">
        <v>5</v>
      </c>
      <c r="B29" t="s">
        <v>88</v>
      </c>
      <c r="C29" t="s">
        <v>89</v>
      </c>
      <c r="D29" t="s">
        <v>3</v>
      </c>
      <c r="E29" t="s">
        <v>135</v>
      </c>
      <c r="F29" t="s">
        <v>136</v>
      </c>
      <c r="G29" t="s">
        <v>6</v>
      </c>
      <c r="H29" t="s">
        <v>92</v>
      </c>
      <c r="J29">
        <v>51.271111779999998</v>
      </c>
      <c r="K29">
        <v>11.654702629999999</v>
      </c>
      <c r="L29" t="s">
        <v>4</v>
      </c>
      <c r="M29">
        <v>0.69072057200000003</v>
      </c>
      <c r="N29">
        <v>0.69072057200000003</v>
      </c>
      <c r="O29">
        <v>0.60438050099999996</v>
      </c>
      <c r="P29">
        <v>0.65516877799999995</v>
      </c>
      <c r="Q29">
        <v>0.59930167300000003</v>
      </c>
      <c r="R29">
        <v>0.54851339600000004</v>
      </c>
      <c r="S29">
        <v>0.54851339600000004</v>
      </c>
    </row>
    <row r="30" spans="1:19" x14ac:dyDescent="0.25">
      <c r="A30" t="s">
        <v>5</v>
      </c>
      <c r="B30" t="s">
        <v>88</v>
      </c>
      <c r="C30" t="s">
        <v>89</v>
      </c>
      <c r="D30" t="s">
        <v>3</v>
      </c>
      <c r="E30" t="s">
        <v>137</v>
      </c>
      <c r="F30" t="s">
        <v>138</v>
      </c>
      <c r="G30" t="s">
        <v>6</v>
      </c>
      <c r="H30" t="s">
        <v>92</v>
      </c>
      <c r="J30">
        <v>51.362759730000001</v>
      </c>
      <c r="K30">
        <v>10.483568269999999</v>
      </c>
      <c r="L30" t="s">
        <v>4</v>
      </c>
      <c r="M30">
        <v>0.78788028099999996</v>
      </c>
      <c r="N30">
        <v>0.78788028099999996</v>
      </c>
      <c r="O30">
        <v>0.68939524600000002</v>
      </c>
      <c r="P30">
        <v>0.74732761999999997</v>
      </c>
      <c r="Q30">
        <v>0.68360200900000001</v>
      </c>
      <c r="R30">
        <v>0.62566963499999995</v>
      </c>
      <c r="S30">
        <v>0.62566963499999995</v>
      </c>
    </row>
    <row r="31" spans="1:19" x14ac:dyDescent="0.25">
      <c r="A31" t="s">
        <v>5</v>
      </c>
      <c r="B31" t="s">
        <v>88</v>
      </c>
      <c r="C31" t="s">
        <v>89</v>
      </c>
      <c r="D31" t="s">
        <v>3</v>
      </c>
      <c r="E31" t="s">
        <v>105</v>
      </c>
      <c r="F31" t="s">
        <v>106</v>
      </c>
      <c r="G31" t="s">
        <v>6</v>
      </c>
      <c r="H31" t="s">
        <v>92</v>
      </c>
      <c r="J31">
        <v>51.760245959999999</v>
      </c>
      <c r="K31">
        <v>8.0731712420000008</v>
      </c>
      <c r="L31" t="s">
        <v>4</v>
      </c>
      <c r="M31">
        <v>0.213463614</v>
      </c>
      <c r="N31">
        <v>0.213463614</v>
      </c>
      <c r="O31">
        <v>0.18678066199999999</v>
      </c>
      <c r="P31">
        <v>0.202476516</v>
      </c>
      <c r="Q31">
        <v>0.185211076</v>
      </c>
      <c r="R31">
        <v>0.16951522299999999</v>
      </c>
      <c r="S31">
        <v>0.16951522299999999</v>
      </c>
    </row>
    <row r="32" spans="1:19" x14ac:dyDescent="0.25">
      <c r="A32" t="s">
        <v>5</v>
      </c>
      <c r="B32" t="s">
        <v>88</v>
      </c>
      <c r="C32" t="s">
        <v>89</v>
      </c>
      <c r="D32" t="s">
        <v>3</v>
      </c>
      <c r="E32" t="s">
        <v>115</v>
      </c>
      <c r="F32" t="s">
        <v>116</v>
      </c>
      <c r="G32" t="s">
        <v>139</v>
      </c>
      <c r="H32" t="s">
        <v>92</v>
      </c>
      <c r="J32">
        <v>50.584319999999998</v>
      </c>
      <c r="K32">
        <v>9.5092449999999999</v>
      </c>
      <c r="L32" t="s">
        <v>4</v>
      </c>
      <c r="M32">
        <v>3.3370271E-2</v>
      </c>
      <c r="N32">
        <v>2.5954655E-2</v>
      </c>
      <c r="O32">
        <v>3.1145585999999999E-2</v>
      </c>
      <c r="P32">
        <v>2.5954655E-2</v>
      </c>
      <c r="Q32">
        <v>2.3729970999999999E-2</v>
      </c>
      <c r="R32">
        <v>2.2246847E-2</v>
      </c>
      <c r="S32">
        <v>2.2246847E-2</v>
      </c>
    </row>
    <row r="33" spans="1:19" x14ac:dyDescent="0.25">
      <c r="A33" t="s">
        <v>5</v>
      </c>
      <c r="B33" t="s">
        <v>88</v>
      </c>
      <c r="C33" t="s">
        <v>89</v>
      </c>
      <c r="D33" t="s">
        <v>3</v>
      </c>
      <c r="E33" t="s">
        <v>140</v>
      </c>
      <c r="F33" t="s">
        <v>141</v>
      </c>
      <c r="G33" t="s">
        <v>139</v>
      </c>
      <c r="H33" t="s">
        <v>92</v>
      </c>
      <c r="J33">
        <v>50.808852000000002</v>
      </c>
      <c r="K33">
        <v>12.09295</v>
      </c>
      <c r="L33" t="s">
        <v>4</v>
      </c>
      <c r="M33">
        <v>5.3444485999999999E-2</v>
      </c>
      <c r="N33">
        <v>4.1567934000000001E-2</v>
      </c>
      <c r="O33">
        <v>4.9881519999999999E-2</v>
      </c>
      <c r="P33">
        <v>4.1567934000000001E-2</v>
      </c>
      <c r="Q33">
        <v>3.8004968E-2</v>
      </c>
      <c r="R33">
        <v>3.5629657000000002E-2</v>
      </c>
      <c r="S33">
        <v>3.5629657000000002E-2</v>
      </c>
    </row>
    <row r="34" spans="1:19" x14ac:dyDescent="0.25">
      <c r="A34" t="s">
        <v>5</v>
      </c>
      <c r="B34" t="s">
        <v>88</v>
      </c>
      <c r="C34" t="s">
        <v>89</v>
      </c>
      <c r="D34" t="s">
        <v>3</v>
      </c>
      <c r="E34" t="s">
        <v>142</v>
      </c>
      <c r="F34" t="s">
        <v>143</v>
      </c>
      <c r="G34" t="s">
        <v>139</v>
      </c>
      <c r="H34" t="s">
        <v>92</v>
      </c>
      <c r="J34">
        <v>51.647706999999997</v>
      </c>
      <c r="K34">
        <v>10.087452000000001</v>
      </c>
      <c r="L34" t="s">
        <v>4</v>
      </c>
      <c r="M34">
        <v>2.4607026000000001E-2</v>
      </c>
      <c r="N34">
        <v>1.9138797999999999E-2</v>
      </c>
      <c r="O34">
        <v>2.2966558000000001E-2</v>
      </c>
      <c r="P34">
        <v>1.9138797999999999E-2</v>
      </c>
      <c r="Q34">
        <v>1.7498329999999999E-2</v>
      </c>
      <c r="R34">
        <v>1.6404683999999999E-2</v>
      </c>
      <c r="S34">
        <v>1.6404683999999999E-2</v>
      </c>
    </row>
    <row r="35" spans="1:19" x14ac:dyDescent="0.25">
      <c r="A35" t="s">
        <v>5</v>
      </c>
      <c r="B35" t="s">
        <v>88</v>
      </c>
      <c r="C35" t="s">
        <v>89</v>
      </c>
      <c r="D35" t="s">
        <v>3</v>
      </c>
      <c r="E35" t="s">
        <v>131</v>
      </c>
      <c r="F35" t="s">
        <v>132</v>
      </c>
      <c r="G35" t="s">
        <v>139</v>
      </c>
      <c r="H35" t="s">
        <v>92</v>
      </c>
      <c r="J35">
        <v>52.490088</v>
      </c>
      <c r="K35">
        <v>13.838051</v>
      </c>
      <c r="L35" t="s">
        <v>4</v>
      </c>
      <c r="M35">
        <v>9.4549258999999997E-2</v>
      </c>
      <c r="N35">
        <v>7.3538312999999994E-2</v>
      </c>
      <c r="O35">
        <v>8.8245976000000004E-2</v>
      </c>
      <c r="P35">
        <v>7.3538312999999994E-2</v>
      </c>
      <c r="Q35">
        <v>6.7235029000000002E-2</v>
      </c>
      <c r="R35">
        <v>6.3032840000000007E-2</v>
      </c>
      <c r="S35">
        <v>6.3032840000000007E-2</v>
      </c>
    </row>
    <row r="36" spans="1:19" x14ac:dyDescent="0.25">
      <c r="A36" t="s">
        <v>5</v>
      </c>
      <c r="B36" t="s">
        <v>88</v>
      </c>
      <c r="C36" t="s">
        <v>89</v>
      </c>
      <c r="D36" t="s">
        <v>3</v>
      </c>
      <c r="E36" t="s">
        <v>144</v>
      </c>
      <c r="F36" t="s">
        <v>145</v>
      </c>
      <c r="G36" t="s">
        <v>139</v>
      </c>
      <c r="H36" t="s">
        <v>92</v>
      </c>
      <c r="J36">
        <v>51.844586</v>
      </c>
      <c r="K36">
        <v>10.18979</v>
      </c>
      <c r="L36" t="s">
        <v>4</v>
      </c>
      <c r="M36">
        <v>0.153462079</v>
      </c>
      <c r="N36">
        <v>0.11935939499999999</v>
      </c>
      <c r="O36">
        <v>0.14323127399999999</v>
      </c>
      <c r="P36">
        <v>0.11935939499999999</v>
      </c>
      <c r="Q36">
        <v>0.109128589</v>
      </c>
      <c r="R36">
        <v>0.102308053</v>
      </c>
      <c r="S36">
        <v>0.102308053</v>
      </c>
    </row>
    <row r="37" spans="1:19" x14ac:dyDescent="0.25">
      <c r="A37" t="s">
        <v>5</v>
      </c>
      <c r="B37" t="s">
        <v>88</v>
      </c>
      <c r="C37" t="s">
        <v>89</v>
      </c>
      <c r="D37" t="s">
        <v>3</v>
      </c>
      <c r="E37" t="s">
        <v>146</v>
      </c>
      <c r="F37" t="s">
        <v>147</v>
      </c>
      <c r="G37" t="s">
        <v>139</v>
      </c>
      <c r="H37" t="s">
        <v>92</v>
      </c>
      <c r="J37">
        <v>48.890949999999997</v>
      </c>
      <c r="K37">
        <v>11.932119999999999</v>
      </c>
      <c r="L37" t="s">
        <v>4</v>
      </c>
      <c r="M37">
        <v>0.14012201499999999</v>
      </c>
      <c r="N37">
        <v>0.108983789</v>
      </c>
      <c r="O37">
        <v>0.130780547</v>
      </c>
      <c r="P37">
        <v>0.108983789</v>
      </c>
      <c r="Q37">
        <v>9.9642322000000005E-2</v>
      </c>
      <c r="R37">
        <v>9.3414677000000002E-2</v>
      </c>
      <c r="S37">
        <v>9.3414677000000002E-2</v>
      </c>
    </row>
    <row r="38" spans="1:19" x14ac:dyDescent="0.25">
      <c r="A38" t="s">
        <v>5</v>
      </c>
      <c r="B38" t="s">
        <v>88</v>
      </c>
      <c r="C38" t="s">
        <v>89</v>
      </c>
      <c r="D38" t="s">
        <v>3</v>
      </c>
      <c r="E38" t="s">
        <v>148</v>
      </c>
      <c r="F38" t="s">
        <v>149</v>
      </c>
      <c r="G38" t="s">
        <v>139</v>
      </c>
      <c r="H38" t="s">
        <v>92</v>
      </c>
      <c r="J38">
        <v>51.247683000000002</v>
      </c>
      <c r="K38">
        <v>7.0445830000000003</v>
      </c>
      <c r="L38" t="s">
        <v>4</v>
      </c>
      <c r="M38">
        <v>0.11501481299999999</v>
      </c>
      <c r="N38">
        <v>8.9455965999999998E-2</v>
      </c>
      <c r="O38">
        <v>0.107347159</v>
      </c>
      <c r="P38">
        <v>8.9455965999999998E-2</v>
      </c>
      <c r="Q38">
        <v>8.1788312000000002E-2</v>
      </c>
      <c r="R38">
        <v>7.6676542E-2</v>
      </c>
      <c r="S38">
        <v>7.6676542E-2</v>
      </c>
    </row>
    <row r="39" spans="1:19" x14ac:dyDescent="0.25">
      <c r="A39" t="s">
        <v>5</v>
      </c>
      <c r="B39" t="s">
        <v>88</v>
      </c>
      <c r="C39" t="s">
        <v>89</v>
      </c>
      <c r="D39" t="s">
        <v>3</v>
      </c>
      <c r="E39" t="s">
        <v>150</v>
      </c>
      <c r="F39" t="s">
        <v>151</v>
      </c>
      <c r="G39" t="s">
        <v>139</v>
      </c>
      <c r="H39" t="s">
        <v>92</v>
      </c>
      <c r="J39">
        <v>51.755471</v>
      </c>
      <c r="K39">
        <v>10.825817000000001</v>
      </c>
      <c r="L39" t="s">
        <v>4</v>
      </c>
      <c r="M39">
        <v>0.388301813</v>
      </c>
      <c r="N39">
        <v>0.30201252200000001</v>
      </c>
      <c r="O39">
        <v>0.36241502599999997</v>
      </c>
      <c r="P39">
        <v>0.30201252200000001</v>
      </c>
      <c r="Q39">
        <v>0.27612573400000001</v>
      </c>
      <c r="R39">
        <v>0.258867876</v>
      </c>
      <c r="S39">
        <v>0.258867876</v>
      </c>
    </row>
    <row r="40" spans="1:19" x14ac:dyDescent="0.25">
      <c r="A40" t="s">
        <v>5</v>
      </c>
      <c r="B40" t="s">
        <v>88</v>
      </c>
      <c r="C40" t="s">
        <v>89</v>
      </c>
      <c r="D40" t="s">
        <v>3</v>
      </c>
      <c r="E40" t="s">
        <v>152</v>
      </c>
      <c r="F40" t="s">
        <v>153</v>
      </c>
      <c r="G40" t="s">
        <v>139</v>
      </c>
      <c r="H40" t="s">
        <v>92</v>
      </c>
      <c r="J40">
        <v>47.658802999999999</v>
      </c>
      <c r="K40">
        <v>7.5460190000000003</v>
      </c>
      <c r="L40" t="s">
        <v>4</v>
      </c>
      <c r="M40">
        <v>8.5133941000000005E-2</v>
      </c>
      <c r="N40">
        <v>6.6215286999999998E-2</v>
      </c>
      <c r="O40">
        <v>7.9458345E-2</v>
      </c>
      <c r="P40">
        <v>6.6215286999999998E-2</v>
      </c>
      <c r="Q40">
        <v>6.0539691E-2</v>
      </c>
      <c r="R40">
        <v>5.6755960000000001E-2</v>
      </c>
      <c r="S40">
        <v>5.6755960000000001E-2</v>
      </c>
    </row>
    <row r="41" spans="1:19" x14ac:dyDescent="0.25">
      <c r="A41" t="s">
        <v>5</v>
      </c>
      <c r="B41" t="s">
        <v>88</v>
      </c>
      <c r="C41" t="s">
        <v>89</v>
      </c>
      <c r="D41" t="s">
        <v>3</v>
      </c>
      <c r="E41" t="s">
        <v>146</v>
      </c>
      <c r="F41" t="s">
        <v>147</v>
      </c>
      <c r="G41" t="s">
        <v>139</v>
      </c>
      <c r="H41" t="s">
        <v>92</v>
      </c>
      <c r="J41">
        <v>49.008715000000002</v>
      </c>
      <c r="K41">
        <v>11.824687000000001</v>
      </c>
      <c r="L41" t="s">
        <v>4</v>
      </c>
      <c r="M41">
        <v>0.14012201499999999</v>
      </c>
      <c r="N41">
        <v>0.108983789</v>
      </c>
      <c r="O41">
        <v>0.130780547</v>
      </c>
      <c r="P41">
        <v>0.108983789</v>
      </c>
      <c r="Q41">
        <v>9.9642322000000005E-2</v>
      </c>
      <c r="R41">
        <v>9.3414677000000002E-2</v>
      </c>
      <c r="S41">
        <v>9.3414677000000002E-2</v>
      </c>
    </row>
    <row r="42" spans="1:19" x14ac:dyDescent="0.25">
      <c r="A42" t="s">
        <v>5</v>
      </c>
      <c r="B42" t="s">
        <v>88</v>
      </c>
      <c r="C42" t="s">
        <v>89</v>
      </c>
      <c r="D42" t="s">
        <v>3</v>
      </c>
      <c r="E42" t="s">
        <v>154</v>
      </c>
      <c r="F42" t="s">
        <v>155</v>
      </c>
      <c r="G42" t="s">
        <v>139</v>
      </c>
      <c r="H42" t="s">
        <v>92</v>
      </c>
      <c r="J42">
        <v>51.140329999999999</v>
      </c>
      <c r="K42">
        <v>8.025404</v>
      </c>
      <c r="L42" t="s">
        <v>4</v>
      </c>
      <c r="M42">
        <v>2.4596616000000002E-2</v>
      </c>
      <c r="N42">
        <v>1.9130701E-2</v>
      </c>
      <c r="O42">
        <v>2.2956840999999999E-2</v>
      </c>
      <c r="P42">
        <v>1.9130701E-2</v>
      </c>
      <c r="Q42">
        <v>1.7490927E-2</v>
      </c>
      <c r="R42">
        <v>1.6397743999999999E-2</v>
      </c>
      <c r="S42">
        <v>1.6397743999999999E-2</v>
      </c>
    </row>
    <row r="43" spans="1:19" x14ac:dyDescent="0.25">
      <c r="A43" t="s">
        <v>5</v>
      </c>
      <c r="B43" t="s">
        <v>88</v>
      </c>
      <c r="C43" t="s">
        <v>89</v>
      </c>
      <c r="D43" t="s">
        <v>3</v>
      </c>
      <c r="E43" t="s">
        <v>156</v>
      </c>
      <c r="F43" t="s">
        <v>157</v>
      </c>
      <c r="G43" t="s">
        <v>139</v>
      </c>
      <c r="H43" t="s">
        <v>92</v>
      </c>
      <c r="J43">
        <v>50.419099000000003</v>
      </c>
      <c r="K43">
        <v>8.1118000000000006</v>
      </c>
      <c r="L43" t="s">
        <v>4</v>
      </c>
      <c r="M43">
        <v>0.13685265599999999</v>
      </c>
      <c r="N43">
        <v>0.106440954</v>
      </c>
      <c r="O43">
        <v>0.12772914499999999</v>
      </c>
      <c r="P43">
        <v>0.106440954</v>
      </c>
      <c r="Q43">
        <v>9.7317444000000003E-2</v>
      </c>
      <c r="R43">
        <v>9.1235103999999997E-2</v>
      </c>
      <c r="S43">
        <v>9.1235103999999997E-2</v>
      </c>
    </row>
    <row r="44" spans="1:19" x14ac:dyDescent="0.25">
      <c r="A44" t="s">
        <v>5</v>
      </c>
      <c r="B44" t="s">
        <v>88</v>
      </c>
      <c r="C44" t="s">
        <v>89</v>
      </c>
      <c r="D44" t="s">
        <v>3</v>
      </c>
      <c r="E44" t="s">
        <v>158</v>
      </c>
      <c r="F44" t="s">
        <v>159</v>
      </c>
      <c r="G44" t="s">
        <v>139</v>
      </c>
      <c r="H44" t="s">
        <v>92</v>
      </c>
      <c r="J44">
        <v>50.317605</v>
      </c>
      <c r="K44">
        <v>8.0657010000000007</v>
      </c>
      <c r="L44" t="s">
        <v>4</v>
      </c>
      <c r="M44">
        <v>0.14754278300000001</v>
      </c>
      <c r="N44">
        <v>0.114755498</v>
      </c>
      <c r="O44">
        <v>0.13770659800000001</v>
      </c>
      <c r="P44">
        <v>0.114755498</v>
      </c>
      <c r="Q44">
        <v>0.104919313</v>
      </c>
      <c r="R44">
        <v>9.8361855999999998E-2</v>
      </c>
      <c r="S44">
        <v>9.8361855999999998E-2</v>
      </c>
    </row>
    <row r="45" spans="1:19" x14ac:dyDescent="0.25">
      <c r="A45" t="s">
        <v>5</v>
      </c>
      <c r="B45" t="s">
        <v>88</v>
      </c>
      <c r="C45" t="s">
        <v>89</v>
      </c>
      <c r="D45" t="s">
        <v>3</v>
      </c>
      <c r="E45" t="s">
        <v>111</v>
      </c>
      <c r="F45" t="s">
        <v>112</v>
      </c>
      <c r="G45" t="s">
        <v>139</v>
      </c>
      <c r="H45" t="s">
        <v>92</v>
      </c>
      <c r="J45">
        <v>51.436858999999998</v>
      </c>
      <c r="K45">
        <v>8.3738720000000004</v>
      </c>
      <c r="L45" t="s">
        <v>4</v>
      </c>
      <c r="M45">
        <v>6.9950278000000005E-2</v>
      </c>
      <c r="N45">
        <v>5.4405771999999998E-2</v>
      </c>
      <c r="O45">
        <v>6.5286925999999995E-2</v>
      </c>
      <c r="P45">
        <v>5.4405771999999998E-2</v>
      </c>
      <c r="Q45">
        <v>4.9742420000000002E-2</v>
      </c>
      <c r="R45">
        <v>4.6633518999999998E-2</v>
      </c>
      <c r="S45">
        <v>4.6633518999999998E-2</v>
      </c>
    </row>
    <row r="46" spans="1:19" x14ac:dyDescent="0.25">
      <c r="A46" t="s">
        <v>5</v>
      </c>
      <c r="B46" t="s">
        <v>88</v>
      </c>
      <c r="C46" t="s">
        <v>89</v>
      </c>
      <c r="D46" t="s">
        <v>3</v>
      </c>
      <c r="E46" t="s">
        <v>160</v>
      </c>
      <c r="F46" t="s">
        <v>161</v>
      </c>
      <c r="G46" t="s">
        <v>139</v>
      </c>
      <c r="H46" t="s">
        <v>92</v>
      </c>
      <c r="J46">
        <v>49.029909000000004</v>
      </c>
      <c r="K46">
        <v>12.1388</v>
      </c>
      <c r="L46" t="s">
        <v>4</v>
      </c>
      <c r="M46">
        <v>7.8780244999999999E-2</v>
      </c>
      <c r="N46">
        <v>6.1273524000000003E-2</v>
      </c>
      <c r="O46">
        <v>7.3528228000000001E-2</v>
      </c>
      <c r="P46">
        <v>6.1273524000000003E-2</v>
      </c>
      <c r="Q46">
        <v>5.6021506999999998E-2</v>
      </c>
      <c r="R46">
        <v>5.2520163000000002E-2</v>
      </c>
      <c r="S46">
        <v>5.2520163000000002E-2</v>
      </c>
    </row>
    <row r="47" spans="1:19" x14ac:dyDescent="0.25">
      <c r="A47" t="s">
        <v>5</v>
      </c>
      <c r="B47" t="s">
        <v>88</v>
      </c>
      <c r="C47" t="s">
        <v>89</v>
      </c>
      <c r="D47" t="s">
        <v>3</v>
      </c>
      <c r="E47" t="s">
        <v>117</v>
      </c>
      <c r="F47" t="s">
        <v>118</v>
      </c>
      <c r="G47" t="s">
        <v>139</v>
      </c>
      <c r="H47" t="s">
        <v>92</v>
      </c>
      <c r="J47">
        <v>50.334173999999997</v>
      </c>
      <c r="K47">
        <v>6.7668109999999997</v>
      </c>
      <c r="L47" t="s">
        <v>4</v>
      </c>
      <c r="M47">
        <v>2.570391E-2</v>
      </c>
      <c r="N47">
        <v>1.9991930000000002E-2</v>
      </c>
      <c r="O47">
        <v>2.3990316000000001E-2</v>
      </c>
      <c r="P47">
        <v>1.9991930000000002E-2</v>
      </c>
      <c r="Q47">
        <v>1.8278335999999999E-2</v>
      </c>
      <c r="R47">
        <v>1.7135939999999999E-2</v>
      </c>
      <c r="S47">
        <v>1.7135939999999999E-2</v>
      </c>
    </row>
    <row r="48" spans="1:19" x14ac:dyDescent="0.25">
      <c r="A48" t="s">
        <v>5</v>
      </c>
      <c r="B48" t="s">
        <v>88</v>
      </c>
      <c r="C48" t="s">
        <v>89</v>
      </c>
      <c r="D48" t="s">
        <v>3</v>
      </c>
      <c r="E48" t="s">
        <v>162</v>
      </c>
      <c r="F48" t="s">
        <v>163</v>
      </c>
      <c r="G48" t="s">
        <v>139</v>
      </c>
      <c r="H48" t="s">
        <v>92</v>
      </c>
      <c r="J48">
        <v>52.040866999999999</v>
      </c>
      <c r="K48">
        <v>8.3994090000000003</v>
      </c>
      <c r="L48" t="s">
        <v>4</v>
      </c>
      <c r="M48">
        <v>4.4982670000000002E-3</v>
      </c>
      <c r="N48">
        <v>3.4986520000000001E-3</v>
      </c>
      <c r="O48">
        <v>4.198383E-3</v>
      </c>
      <c r="P48">
        <v>3.4986520000000001E-3</v>
      </c>
      <c r="Q48">
        <v>3.1987679999999998E-3</v>
      </c>
      <c r="R48">
        <v>2.998845E-3</v>
      </c>
      <c r="S48">
        <v>2.998845E-3</v>
      </c>
    </row>
    <row r="49" spans="1:19" x14ac:dyDescent="0.25">
      <c r="A49" t="s">
        <v>5</v>
      </c>
      <c r="B49" t="s">
        <v>88</v>
      </c>
      <c r="C49" t="s">
        <v>89</v>
      </c>
      <c r="D49" t="s">
        <v>3</v>
      </c>
      <c r="E49" t="s">
        <v>117</v>
      </c>
      <c r="F49" t="s">
        <v>118</v>
      </c>
      <c r="G49" t="s">
        <v>139</v>
      </c>
      <c r="H49" t="s">
        <v>92</v>
      </c>
      <c r="J49">
        <v>50.230564000000001</v>
      </c>
      <c r="K49">
        <v>6.6829239999999999</v>
      </c>
      <c r="L49" t="s">
        <v>4</v>
      </c>
      <c r="M49">
        <v>1.29658E-4</v>
      </c>
      <c r="N49">
        <v>1.00845E-4</v>
      </c>
      <c r="O49">
        <v>1.21014E-4</v>
      </c>
      <c r="P49">
        <v>1.00845E-4</v>
      </c>
      <c r="Q49" s="100">
        <v>9.2200000000000005E-5</v>
      </c>
      <c r="R49" s="100">
        <v>8.6399999999999999E-5</v>
      </c>
      <c r="S49" s="100">
        <v>8.6399999999999999E-5</v>
      </c>
    </row>
    <row r="50" spans="1:19" x14ac:dyDescent="0.25">
      <c r="A50" t="s">
        <v>5</v>
      </c>
      <c r="B50" t="s">
        <v>88</v>
      </c>
      <c r="C50" t="s">
        <v>89</v>
      </c>
      <c r="D50" t="s">
        <v>3</v>
      </c>
      <c r="E50" t="s">
        <v>164</v>
      </c>
      <c r="F50" t="s">
        <v>165</v>
      </c>
      <c r="G50" t="s">
        <v>139</v>
      </c>
      <c r="H50" t="s">
        <v>92</v>
      </c>
      <c r="J50">
        <v>51.296801000000002</v>
      </c>
      <c r="K50">
        <v>7.0149359999999996</v>
      </c>
      <c r="L50" t="s">
        <v>4</v>
      </c>
      <c r="M50">
        <v>0.91869605899999995</v>
      </c>
      <c r="N50">
        <v>0.71454137900000003</v>
      </c>
      <c r="O50">
        <v>0.85744965500000003</v>
      </c>
      <c r="P50">
        <v>0.71454137900000003</v>
      </c>
      <c r="Q50">
        <v>0.653294975</v>
      </c>
      <c r="R50">
        <v>0.61246403900000002</v>
      </c>
      <c r="S50">
        <v>0.61246403900000002</v>
      </c>
    </row>
    <row r="51" spans="1:19" x14ac:dyDescent="0.25">
      <c r="A51" t="s">
        <v>5</v>
      </c>
      <c r="B51" t="s">
        <v>88</v>
      </c>
      <c r="C51" t="s">
        <v>89</v>
      </c>
      <c r="D51" t="s">
        <v>3</v>
      </c>
      <c r="E51" t="s">
        <v>166</v>
      </c>
      <c r="F51" t="s">
        <v>167</v>
      </c>
      <c r="G51" t="s">
        <v>139</v>
      </c>
      <c r="H51" t="s">
        <v>92</v>
      </c>
      <c r="J51">
        <v>51.394948999999997</v>
      </c>
      <c r="K51">
        <v>8.6849950000000007</v>
      </c>
      <c r="L51" t="s">
        <v>4</v>
      </c>
      <c r="M51">
        <v>3.2763151999999997E-2</v>
      </c>
      <c r="N51">
        <v>2.5482451E-2</v>
      </c>
      <c r="O51">
        <v>3.0578942000000001E-2</v>
      </c>
      <c r="P51">
        <v>2.5482451E-2</v>
      </c>
      <c r="Q51">
        <v>2.3298241000000001E-2</v>
      </c>
      <c r="R51">
        <v>2.1842100999999999E-2</v>
      </c>
      <c r="S51">
        <v>2.1842100999999999E-2</v>
      </c>
    </row>
    <row r="52" spans="1:19" x14ac:dyDescent="0.25">
      <c r="A52" t="s">
        <v>5</v>
      </c>
      <c r="B52" t="s">
        <v>88</v>
      </c>
      <c r="C52" t="s">
        <v>89</v>
      </c>
      <c r="D52" t="s">
        <v>3</v>
      </c>
      <c r="E52" t="s">
        <v>168</v>
      </c>
      <c r="F52" t="s">
        <v>169</v>
      </c>
      <c r="G52" t="s">
        <v>139</v>
      </c>
      <c r="H52" t="s">
        <v>92</v>
      </c>
      <c r="J52">
        <v>51.397084999999997</v>
      </c>
      <c r="K52">
        <v>7.8406979999999997</v>
      </c>
      <c r="L52" t="s">
        <v>4</v>
      </c>
      <c r="M52">
        <v>0.39661315000000003</v>
      </c>
      <c r="N52">
        <v>0.308476894</v>
      </c>
      <c r="O52">
        <v>0.370172273</v>
      </c>
      <c r="P52">
        <v>0.308476894</v>
      </c>
      <c r="Q52">
        <v>0.282036018</v>
      </c>
      <c r="R52">
        <v>0.26440876699999999</v>
      </c>
      <c r="S52">
        <v>0.26440876699999999</v>
      </c>
    </row>
    <row r="53" spans="1:19" x14ac:dyDescent="0.25">
      <c r="A53" t="s">
        <v>5</v>
      </c>
      <c r="B53" t="s">
        <v>88</v>
      </c>
      <c r="C53" t="s">
        <v>89</v>
      </c>
      <c r="D53" t="s">
        <v>3</v>
      </c>
      <c r="E53" t="s">
        <v>170</v>
      </c>
      <c r="F53" t="s">
        <v>171</v>
      </c>
      <c r="G53" t="s">
        <v>139</v>
      </c>
      <c r="H53" t="s">
        <v>92</v>
      </c>
      <c r="J53">
        <v>52.059196999999998</v>
      </c>
      <c r="K53">
        <v>9.5886659999999999</v>
      </c>
      <c r="L53" t="s">
        <v>4</v>
      </c>
      <c r="M53">
        <v>4.9156319999999996E-3</v>
      </c>
      <c r="N53">
        <v>3.8232689999999998E-3</v>
      </c>
      <c r="O53">
        <v>4.5879229999999998E-3</v>
      </c>
      <c r="P53">
        <v>3.8232689999999998E-3</v>
      </c>
      <c r="Q53">
        <v>3.4955609999999999E-3</v>
      </c>
      <c r="R53">
        <v>3.277088E-3</v>
      </c>
      <c r="S53">
        <v>3.277088E-3</v>
      </c>
    </row>
    <row r="54" spans="1:19" x14ac:dyDescent="0.25">
      <c r="A54" t="s">
        <v>5</v>
      </c>
      <c r="B54" t="s">
        <v>88</v>
      </c>
      <c r="C54" t="s">
        <v>89</v>
      </c>
      <c r="D54" t="s">
        <v>3</v>
      </c>
      <c r="E54" t="s">
        <v>107</v>
      </c>
      <c r="F54" t="s">
        <v>108</v>
      </c>
      <c r="G54" t="s">
        <v>139</v>
      </c>
      <c r="H54" t="s">
        <v>92</v>
      </c>
      <c r="J54">
        <v>52.264046999999998</v>
      </c>
      <c r="K54">
        <v>7.3968769999999999</v>
      </c>
      <c r="L54" t="s">
        <v>4</v>
      </c>
      <c r="M54">
        <v>1.1933704999999999E-2</v>
      </c>
      <c r="N54">
        <v>9.28177E-3</v>
      </c>
      <c r="O54">
        <v>1.1138125E-2</v>
      </c>
      <c r="P54">
        <v>9.28177E-3</v>
      </c>
      <c r="Q54">
        <v>8.4861899999999994E-3</v>
      </c>
      <c r="R54">
        <v>7.9558029999999991E-3</v>
      </c>
      <c r="S54">
        <v>7.9558029999999991E-3</v>
      </c>
    </row>
    <row r="55" spans="1:19" x14ac:dyDescent="0.25">
      <c r="A55" t="s">
        <v>5</v>
      </c>
      <c r="B55" t="s">
        <v>88</v>
      </c>
      <c r="C55" t="s">
        <v>89</v>
      </c>
      <c r="D55" t="s">
        <v>3</v>
      </c>
      <c r="E55" t="s">
        <v>129</v>
      </c>
      <c r="F55" t="s">
        <v>130</v>
      </c>
      <c r="G55" t="s">
        <v>139</v>
      </c>
      <c r="H55" t="s">
        <v>92</v>
      </c>
      <c r="J55">
        <v>48.775784999999999</v>
      </c>
      <c r="K55">
        <v>10.699441999999999</v>
      </c>
      <c r="L55" t="s">
        <v>4</v>
      </c>
      <c r="M55">
        <v>7.941339E-2</v>
      </c>
      <c r="N55">
        <v>6.1765970000000003E-2</v>
      </c>
      <c r="O55">
        <v>7.4119164000000001E-2</v>
      </c>
      <c r="P55">
        <v>6.1765970000000003E-2</v>
      </c>
      <c r="Q55">
        <v>5.6471743999999997E-2</v>
      </c>
      <c r="R55">
        <v>5.2942259999999998E-2</v>
      </c>
      <c r="S55">
        <v>5.2942259999999998E-2</v>
      </c>
    </row>
    <row r="56" spans="1:19" x14ac:dyDescent="0.25">
      <c r="A56" t="s">
        <v>5</v>
      </c>
      <c r="B56" t="s">
        <v>88</v>
      </c>
      <c r="C56" t="s">
        <v>89</v>
      </c>
      <c r="D56" t="s">
        <v>3</v>
      </c>
      <c r="E56" t="s">
        <v>107</v>
      </c>
      <c r="F56" t="s">
        <v>108</v>
      </c>
      <c r="G56" t="s">
        <v>139</v>
      </c>
      <c r="H56" t="s">
        <v>92</v>
      </c>
      <c r="J56">
        <v>52.162646000000002</v>
      </c>
      <c r="K56">
        <v>7.968648</v>
      </c>
      <c r="L56" t="s">
        <v>4</v>
      </c>
      <c r="M56">
        <v>7.2120859999999995E-2</v>
      </c>
      <c r="N56">
        <v>5.6094001999999997E-2</v>
      </c>
      <c r="O56">
        <v>6.7312802000000005E-2</v>
      </c>
      <c r="P56">
        <v>5.6094001999999997E-2</v>
      </c>
      <c r="Q56">
        <v>5.1285944999999999E-2</v>
      </c>
      <c r="R56">
        <v>4.8080573000000001E-2</v>
      </c>
      <c r="S56">
        <v>4.8080573000000001E-2</v>
      </c>
    </row>
    <row r="57" spans="1:19" x14ac:dyDescent="0.25">
      <c r="A57" t="s">
        <v>5</v>
      </c>
      <c r="B57" t="s">
        <v>88</v>
      </c>
      <c r="C57" t="s">
        <v>89</v>
      </c>
      <c r="D57" t="s">
        <v>3</v>
      </c>
      <c r="E57" t="s">
        <v>172</v>
      </c>
      <c r="F57" t="s">
        <v>173</v>
      </c>
      <c r="G57" t="s">
        <v>139</v>
      </c>
      <c r="H57" t="s">
        <v>92</v>
      </c>
      <c r="J57">
        <v>50.027914000000003</v>
      </c>
      <c r="K57">
        <v>11.308923</v>
      </c>
      <c r="L57" t="s">
        <v>4</v>
      </c>
      <c r="M57">
        <v>1.658103E-3</v>
      </c>
      <c r="N57">
        <v>1.289636E-3</v>
      </c>
      <c r="O57">
        <v>1.5475630000000001E-3</v>
      </c>
      <c r="P57">
        <v>1.289636E-3</v>
      </c>
      <c r="Q57">
        <v>1.1790959999999999E-3</v>
      </c>
      <c r="R57">
        <v>1.1054019999999999E-3</v>
      </c>
      <c r="S57">
        <v>1.1054019999999999E-3</v>
      </c>
    </row>
    <row r="58" spans="1:19" x14ac:dyDescent="0.25">
      <c r="A58" t="s">
        <v>5</v>
      </c>
      <c r="B58" t="s">
        <v>88</v>
      </c>
      <c r="C58" t="s">
        <v>89</v>
      </c>
      <c r="D58" t="s">
        <v>3</v>
      </c>
      <c r="E58" t="s">
        <v>174</v>
      </c>
      <c r="F58" t="s">
        <v>175</v>
      </c>
      <c r="G58" t="s">
        <v>139</v>
      </c>
      <c r="H58" t="s">
        <v>92</v>
      </c>
      <c r="J58">
        <v>52.170476999999998</v>
      </c>
      <c r="K58">
        <v>9.7933900000000005</v>
      </c>
      <c r="L58" t="s">
        <v>4</v>
      </c>
      <c r="M58">
        <v>6.3428595000000004E-2</v>
      </c>
      <c r="N58">
        <v>4.9333351999999997E-2</v>
      </c>
      <c r="O58">
        <v>5.9200021999999998E-2</v>
      </c>
      <c r="P58">
        <v>4.9333351999999997E-2</v>
      </c>
      <c r="Q58">
        <v>4.5104778999999998E-2</v>
      </c>
      <c r="R58">
        <v>4.2285730000000001E-2</v>
      </c>
      <c r="S58">
        <v>4.2285730000000001E-2</v>
      </c>
    </row>
    <row r="59" spans="1:19" x14ac:dyDescent="0.25">
      <c r="A59" t="s">
        <v>5</v>
      </c>
      <c r="B59" t="s">
        <v>88</v>
      </c>
      <c r="C59" t="s">
        <v>89</v>
      </c>
      <c r="D59" t="s">
        <v>3</v>
      </c>
      <c r="E59" t="s">
        <v>176</v>
      </c>
      <c r="F59" t="s">
        <v>177</v>
      </c>
      <c r="G59" t="s">
        <v>139</v>
      </c>
      <c r="H59" t="s">
        <v>92</v>
      </c>
      <c r="J59">
        <v>52.023237000000002</v>
      </c>
      <c r="K59">
        <v>10.545916999999999</v>
      </c>
      <c r="L59" t="s">
        <v>4</v>
      </c>
      <c r="M59">
        <v>3.1327926999999998E-2</v>
      </c>
      <c r="N59">
        <v>2.4366166000000002E-2</v>
      </c>
      <c r="O59">
        <v>2.9239398999999999E-2</v>
      </c>
      <c r="P59">
        <v>2.4366166000000002E-2</v>
      </c>
      <c r="Q59">
        <v>2.2277636999999999E-2</v>
      </c>
      <c r="R59">
        <v>2.0885285E-2</v>
      </c>
      <c r="S59">
        <v>2.0885285E-2</v>
      </c>
    </row>
    <row r="60" spans="1:19" x14ac:dyDescent="0.25">
      <c r="A60" t="s">
        <v>5</v>
      </c>
      <c r="B60" t="s">
        <v>88</v>
      </c>
      <c r="C60" t="s">
        <v>89</v>
      </c>
      <c r="D60" t="s">
        <v>3</v>
      </c>
      <c r="E60" t="s">
        <v>178</v>
      </c>
      <c r="F60" t="s">
        <v>179</v>
      </c>
      <c r="G60" t="s">
        <v>139</v>
      </c>
      <c r="H60" t="s">
        <v>92</v>
      </c>
      <c r="J60">
        <v>52.071129999999997</v>
      </c>
      <c r="K60">
        <v>11.385047999999999</v>
      </c>
      <c r="L60" t="s">
        <v>4</v>
      </c>
      <c r="M60">
        <v>5.1052445000000002E-2</v>
      </c>
      <c r="N60">
        <v>3.9707458000000001E-2</v>
      </c>
      <c r="O60">
        <v>4.7648949000000003E-2</v>
      </c>
      <c r="P60">
        <v>3.9707458000000001E-2</v>
      </c>
      <c r="Q60">
        <v>3.6303961000000003E-2</v>
      </c>
      <c r="R60">
        <v>3.4034964000000001E-2</v>
      </c>
      <c r="S60">
        <v>3.4034964000000001E-2</v>
      </c>
    </row>
    <row r="61" spans="1:19" x14ac:dyDescent="0.25">
      <c r="A61" t="s">
        <v>5</v>
      </c>
      <c r="B61" t="s">
        <v>88</v>
      </c>
      <c r="C61" t="s">
        <v>89</v>
      </c>
      <c r="D61" t="s">
        <v>3</v>
      </c>
      <c r="E61" t="s">
        <v>180</v>
      </c>
      <c r="F61" t="s">
        <v>181</v>
      </c>
      <c r="G61" t="s">
        <v>139</v>
      </c>
      <c r="H61" t="s">
        <v>92</v>
      </c>
      <c r="J61">
        <v>52.977111999999998</v>
      </c>
      <c r="K61">
        <v>10.558517999999999</v>
      </c>
      <c r="L61" t="s">
        <v>4</v>
      </c>
      <c r="M61">
        <v>7.6179047999999999E-2</v>
      </c>
      <c r="N61">
        <v>5.9250371000000003E-2</v>
      </c>
      <c r="O61">
        <v>7.1100444999999998E-2</v>
      </c>
      <c r="P61">
        <v>5.9250371000000003E-2</v>
      </c>
      <c r="Q61">
        <v>5.4171768000000002E-2</v>
      </c>
      <c r="R61">
        <v>5.0786032000000002E-2</v>
      </c>
      <c r="S61">
        <v>5.0786032000000002E-2</v>
      </c>
    </row>
    <row r="62" spans="1:19" x14ac:dyDescent="0.25">
      <c r="A62" t="s">
        <v>5</v>
      </c>
      <c r="B62" t="s">
        <v>88</v>
      </c>
      <c r="C62" t="s">
        <v>89</v>
      </c>
      <c r="D62" t="s">
        <v>3</v>
      </c>
      <c r="E62" t="s">
        <v>182</v>
      </c>
      <c r="F62" t="s">
        <v>183</v>
      </c>
      <c r="G62" t="s">
        <v>139</v>
      </c>
      <c r="H62" t="s">
        <v>92</v>
      </c>
      <c r="J62">
        <v>52.233195000000002</v>
      </c>
      <c r="K62">
        <v>10.034605000000001</v>
      </c>
      <c r="L62" t="s">
        <v>4</v>
      </c>
      <c r="M62">
        <v>2.7071466999999998E-2</v>
      </c>
      <c r="N62">
        <v>2.1055585000000002E-2</v>
      </c>
      <c r="O62">
        <v>2.5266701999999999E-2</v>
      </c>
      <c r="P62">
        <v>2.1055585000000002E-2</v>
      </c>
      <c r="Q62">
        <v>1.9250821000000001E-2</v>
      </c>
      <c r="R62">
        <v>1.8047645000000001E-2</v>
      </c>
      <c r="S62">
        <v>1.8047645000000001E-2</v>
      </c>
    </row>
    <row r="63" spans="1:19" x14ac:dyDescent="0.25">
      <c r="A63" t="s">
        <v>5</v>
      </c>
      <c r="B63" t="s">
        <v>88</v>
      </c>
      <c r="C63" t="s">
        <v>89</v>
      </c>
      <c r="D63" t="s">
        <v>3</v>
      </c>
      <c r="E63" t="s">
        <v>184</v>
      </c>
      <c r="F63" t="s">
        <v>185</v>
      </c>
      <c r="G63" t="s">
        <v>139</v>
      </c>
      <c r="H63" t="s">
        <v>92</v>
      </c>
      <c r="J63">
        <v>51.205803000000003</v>
      </c>
      <c r="K63">
        <v>9.9074449999999992</v>
      </c>
      <c r="L63" t="s">
        <v>4</v>
      </c>
      <c r="M63">
        <v>2.3620398000000001E-2</v>
      </c>
      <c r="N63">
        <v>1.8371420999999999E-2</v>
      </c>
      <c r="O63">
        <v>2.2045704999999999E-2</v>
      </c>
      <c r="P63">
        <v>1.8371420999999999E-2</v>
      </c>
      <c r="Q63">
        <v>1.6796727000000001E-2</v>
      </c>
      <c r="R63">
        <v>1.5746932000000002E-2</v>
      </c>
      <c r="S63">
        <v>1.5746932000000002E-2</v>
      </c>
    </row>
    <row r="64" spans="1:19" x14ac:dyDescent="0.25">
      <c r="A64" t="s">
        <v>5</v>
      </c>
      <c r="B64" t="s">
        <v>88</v>
      </c>
      <c r="C64" t="s">
        <v>89</v>
      </c>
      <c r="D64" t="s">
        <v>3</v>
      </c>
      <c r="E64" t="s">
        <v>97</v>
      </c>
      <c r="F64" t="s">
        <v>98</v>
      </c>
      <c r="G64" t="s">
        <v>139</v>
      </c>
      <c r="H64" t="s">
        <v>92</v>
      </c>
      <c r="J64">
        <v>48.423419000000003</v>
      </c>
      <c r="K64">
        <v>9.9041779999999999</v>
      </c>
      <c r="L64" t="s">
        <v>4</v>
      </c>
      <c r="M64">
        <v>7.0400294000000002E-2</v>
      </c>
      <c r="N64">
        <v>5.4755784000000002E-2</v>
      </c>
      <c r="O64">
        <v>6.5706941000000005E-2</v>
      </c>
      <c r="P64">
        <v>5.4755784000000002E-2</v>
      </c>
      <c r="Q64">
        <v>5.0062430999999998E-2</v>
      </c>
      <c r="R64">
        <v>4.6933529000000002E-2</v>
      </c>
      <c r="S64">
        <v>4.6933529000000002E-2</v>
      </c>
    </row>
    <row r="65" spans="1:19" x14ac:dyDescent="0.25">
      <c r="A65" t="s">
        <v>5</v>
      </c>
      <c r="B65" t="s">
        <v>88</v>
      </c>
      <c r="C65" t="s">
        <v>89</v>
      </c>
      <c r="D65" t="s">
        <v>3</v>
      </c>
      <c r="E65" t="s">
        <v>186</v>
      </c>
      <c r="F65" t="s">
        <v>187</v>
      </c>
      <c r="G65" t="s">
        <v>139</v>
      </c>
      <c r="H65" t="s">
        <v>92</v>
      </c>
      <c r="J65">
        <v>49.364916000000001</v>
      </c>
      <c r="K65">
        <v>11.604835</v>
      </c>
      <c r="L65" t="s">
        <v>4</v>
      </c>
      <c r="M65">
        <v>2.4093127999999998E-2</v>
      </c>
      <c r="N65">
        <v>1.8739098999999999E-2</v>
      </c>
      <c r="O65">
        <v>2.2486919000000001E-2</v>
      </c>
      <c r="P65">
        <v>1.8739098999999999E-2</v>
      </c>
      <c r="Q65">
        <v>1.7132891000000001E-2</v>
      </c>
      <c r="R65">
        <v>1.6062085E-2</v>
      </c>
      <c r="S65">
        <v>1.6062085E-2</v>
      </c>
    </row>
    <row r="66" spans="1:19" x14ac:dyDescent="0.25">
      <c r="A66" t="s">
        <v>5</v>
      </c>
      <c r="B66" t="s">
        <v>88</v>
      </c>
      <c r="C66" t="s">
        <v>89</v>
      </c>
      <c r="D66" t="s">
        <v>3</v>
      </c>
      <c r="E66" t="s">
        <v>188</v>
      </c>
      <c r="F66" t="s">
        <v>189</v>
      </c>
      <c r="G66" t="s">
        <v>139</v>
      </c>
      <c r="H66" t="s">
        <v>92</v>
      </c>
      <c r="J66">
        <v>50.915255000000002</v>
      </c>
      <c r="K66">
        <v>6.3715789999999997</v>
      </c>
      <c r="L66" t="s">
        <v>4</v>
      </c>
      <c r="M66">
        <v>8.5499725999999998E-2</v>
      </c>
      <c r="N66">
        <v>6.6499787000000005E-2</v>
      </c>
      <c r="O66">
        <v>7.9799745000000005E-2</v>
      </c>
      <c r="P66">
        <v>6.6499787000000005E-2</v>
      </c>
      <c r="Q66">
        <v>6.0799805999999998E-2</v>
      </c>
      <c r="R66">
        <v>5.6999818000000001E-2</v>
      </c>
      <c r="S66">
        <v>5.6999818000000001E-2</v>
      </c>
    </row>
    <row r="67" spans="1:19" x14ac:dyDescent="0.25">
      <c r="A67" t="s">
        <v>5</v>
      </c>
      <c r="B67" t="s">
        <v>88</v>
      </c>
      <c r="C67" t="s">
        <v>89</v>
      </c>
      <c r="D67" t="s">
        <v>3</v>
      </c>
      <c r="E67" t="s">
        <v>190</v>
      </c>
      <c r="F67" t="s">
        <v>191</v>
      </c>
      <c r="G67" t="s">
        <v>139</v>
      </c>
      <c r="H67" t="s">
        <v>92</v>
      </c>
      <c r="J67">
        <v>50.657406000000002</v>
      </c>
      <c r="K67">
        <v>6.8105380000000002</v>
      </c>
      <c r="L67" t="s">
        <v>4</v>
      </c>
      <c r="M67">
        <v>4.1957485000000003E-2</v>
      </c>
      <c r="N67">
        <v>3.2633598999999999E-2</v>
      </c>
      <c r="O67">
        <v>3.9160318999999999E-2</v>
      </c>
      <c r="P67">
        <v>3.2633598999999999E-2</v>
      </c>
      <c r="Q67">
        <v>2.9836433999999998E-2</v>
      </c>
      <c r="R67">
        <v>2.7971657E-2</v>
      </c>
      <c r="S67">
        <v>2.7971657E-2</v>
      </c>
    </row>
    <row r="68" spans="1:19" x14ac:dyDescent="0.25">
      <c r="A68" t="s">
        <v>5</v>
      </c>
      <c r="B68" t="s">
        <v>88</v>
      </c>
      <c r="C68" t="s">
        <v>89</v>
      </c>
      <c r="D68" t="s">
        <v>3</v>
      </c>
      <c r="E68" t="s">
        <v>192</v>
      </c>
      <c r="F68" t="s">
        <v>193</v>
      </c>
      <c r="G68" t="s">
        <v>139</v>
      </c>
      <c r="H68" t="s">
        <v>92</v>
      </c>
      <c r="J68">
        <v>51.985916000000003</v>
      </c>
      <c r="K68">
        <v>8.8075480000000006</v>
      </c>
      <c r="L68" t="s">
        <v>4</v>
      </c>
      <c r="M68">
        <v>2.1625373999999999E-2</v>
      </c>
      <c r="N68">
        <v>1.6819735999999998E-2</v>
      </c>
      <c r="O68">
        <v>2.0183683000000001E-2</v>
      </c>
      <c r="P68">
        <v>1.6819735999999998E-2</v>
      </c>
      <c r="Q68">
        <v>1.5378044E-2</v>
      </c>
      <c r="R68">
        <v>1.4416916E-2</v>
      </c>
      <c r="S68">
        <v>1.4416916E-2</v>
      </c>
    </row>
    <row r="69" spans="1:19" x14ac:dyDescent="0.25">
      <c r="A69" t="s">
        <v>5</v>
      </c>
      <c r="B69" t="s">
        <v>88</v>
      </c>
      <c r="C69" t="s">
        <v>89</v>
      </c>
      <c r="D69" t="s">
        <v>3</v>
      </c>
      <c r="E69" t="s">
        <v>194</v>
      </c>
      <c r="F69" t="s">
        <v>195</v>
      </c>
      <c r="G69" t="s">
        <v>139</v>
      </c>
      <c r="H69" t="s">
        <v>92</v>
      </c>
      <c r="J69">
        <v>51.729120999999999</v>
      </c>
      <c r="K69">
        <v>6.3590609999999996</v>
      </c>
      <c r="L69" t="s">
        <v>4</v>
      </c>
      <c r="M69">
        <v>2.1348077E-2</v>
      </c>
      <c r="N69">
        <v>1.660406E-2</v>
      </c>
      <c r="O69">
        <v>1.9924872E-2</v>
      </c>
      <c r="P69">
        <v>1.660406E-2</v>
      </c>
      <c r="Q69">
        <v>1.5180855E-2</v>
      </c>
      <c r="R69">
        <v>1.4232052E-2</v>
      </c>
      <c r="S69">
        <v>1.4232052E-2</v>
      </c>
    </row>
    <row r="70" spans="1:19" x14ac:dyDescent="0.25">
      <c r="A70" t="s">
        <v>5</v>
      </c>
      <c r="B70" t="s">
        <v>88</v>
      </c>
      <c r="C70" t="s">
        <v>89</v>
      </c>
      <c r="D70" t="s">
        <v>3</v>
      </c>
      <c r="E70" t="s">
        <v>133</v>
      </c>
      <c r="F70" t="s">
        <v>134</v>
      </c>
      <c r="G70" t="s">
        <v>139</v>
      </c>
      <c r="H70" t="s">
        <v>92</v>
      </c>
      <c r="J70">
        <v>51.698058000000003</v>
      </c>
      <c r="K70">
        <v>11.757585000000001</v>
      </c>
      <c r="L70" t="s">
        <v>4</v>
      </c>
      <c r="M70">
        <v>5.2051849999999997E-2</v>
      </c>
      <c r="N70">
        <v>4.0484772000000002E-2</v>
      </c>
      <c r="O70">
        <v>4.8581726999999998E-2</v>
      </c>
      <c r="P70">
        <v>4.0484772000000002E-2</v>
      </c>
      <c r="Q70">
        <v>3.7014648999999997E-2</v>
      </c>
      <c r="R70">
        <v>3.4701232999999998E-2</v>
      </c>
      <c r="S70">
        <v>3.4701232999999998E-2</v>
      </c>
    </row>
    <row r="71" spans="1:19" x14ac:dyDescent="0.25">
      <c r="A71" t="s">
        <v>5</v>
      </c>
      <c r="B71" t="s">
        <v>88</v>
      </c>
      <c r="C71" t="s">
        <v>89</v>
      </c>
      <c r="D71" t="s">
        <v>3</v>
      </c>
      <c r="E71" t="s">
        <v>111</v>
      </c>
      <c r="F71" t="s">
        <v>112</v>
      </c>
      <c r="G71" t="s">
        <v>139</v>
      </c>
      <c r="H71" t="s">
        <v>92</v>
      </c>
      <c r="J71">
        <v>51.597330999999997</v>
      </c>
      <c r="K71">
        <v>8.3411760000000008</v>
      </c>
      <c r="L71" t="s">
        <v>4</v>
      </c>
      <c r="M71">
        <v>5.7637064000000002E-2</v>
      </c>
      <c r="N71">
        <v>4.4828828000000001E-2</v>
      </c>
      <c r="O71">
        <v>5.3794593000000002E-2</v>
      </c>
      <c r="P71">
        <v>4.4828828000000001E-2</v>
      </c>
      <c r="Q71">
        <v>4.0986357000000001E-2</v>
      </c>
      <c r="R71">
        <v>3.8424710000000001E-2</v>
      </c>
      <c r="S71">
        <v>3.8424710000000001E-2</v>
      </c>
    </row>
    <row r="72" spans="1:19" x14ac:dyDescent="0.25">
      <c r="A72" t="s">
        <v>5</v>
      </c>
      <c r="B72" t="s">
        <v>88</v>
      </c>
      <c r="C72" t="s">
        <v>89</v>
      </c>
      <c r="D72" t="s">
        <v>3</v>
      </c>
      <c r="E72" t="s">
        <v>196</v>
      </c>
      <c r="F72" t="s">
        <v>197</v>
      </c>
      <c r="G72" t="s">
        <v>139</v>
      </c>
      <c r="H72" t="s">
        <v>92</v>
      </c>
      <c r="J72">
        <v>52.169490000000003</v>
      </c>
      <c r="K72">
        <v>14.626637000000001</v>
      </c>
      <c r="L72" t="s">
        <v>4</v>
      </c>
      <c r="M72">
        <v>7.2417085000000006E-2</v>
      </c>
      <c r="N72">
        <v>5.6324398999999997E-2</v>
      </c>
      <c r="O72">
        <v>6.7589279000000002E-2</v>
      </c>
      <c r="P72">
        <v>5.6324398999999997E-2</v>
      </c>
      <c r="Q72">
        <v>5.1496594E-2</v>
      </c>
      <c r="R72">
        <v>4.8278056999999999E-2</v>
      </c>
      <c r="S72">
        <v>4.8278056999999999E-2</v>
      </c>
    </row>
    <row r="73" spans="1:19" x14ac:dyDescent="0.25">
      <c r="A73" t="s">
        <v>5</v>
      </c>
      <c r="B73" t="s">
        <v>88</v>
      </c>
      <c r="C73" t="s">
        <v>89</v>
      </c>
      <c r="D73" t="s">
        <v>3</v>
      </c>
      <c r="E73" t="s">
        <v>140</v>
      </c>
      <c r="F73" t="s">
        <v>141</v>
      </c>
      <c r="G73" t="s">
        <v>139</v>
      </c>
      <c r="H73" t="s">
        <v>92</v>
      </c>
      <c r="J73">
        <v>50.944513999999998</v>
      </c>
      <c r="K73">
        <v>11.988065000000001</v>
      </c>
      <c r="L73" t="s">
        <v>4</v>
      </c>
      <c r="M73">
        <v>3.2936343999999999E-2</v>
      </c>
      <c r="N73">
        <v>2.5617157000000002E-2</v>
      </c>
      <c r="O73">
        <v>3.0740587999999999E-2</v>
      </c>
      <c r="P73">
        <v>2.5617157000000002E-2</v>
      </c>
      <c r="Q73">
        <v>2.3421399999999998E-2</v>
      </c>
      <c r="R73">
        <v>2.1957562999999999E-2</v>
      </c>
      <c r="S73">
        <v>2.1957562999999999E-2</v>
      </c>
    </row>
    <row r="74" spans="1:19" x14ac:dyDescent="0.25">
      <c r="A74" t="s">
        <v>5</v>
      </c>
      <c r="B74" t="s">
        <v>88</v>
      </c>
      <c r="C74" t="s">
        <v>89</v>
      </c>
      <c r="D74" t="s">
        <v>3</v>
      </c>
      <c r="E74" t="s">
        <v>198</v>
      </c>
      <c r="F74" t="s">
        <v>199</v>
      </c>
      <c r="G74" t="s">
        <v>139</v>
      </c>
      <c r="H74" t="s">
        <v>92</v>
      </c>
      <c r="J74">
        <v>53.853903000000003</v>
      </c>
      <c r="K74">
        <v>13.708684</v>
      </c>
      <c r="L74" t="s">
        <v>4</v>
      </c>
      <c r="M74">
        <v>3.9175997999999997E-2</v>
      </c>
      <c r="N74">
        <v>3.0470220999999999E-2</v>
      </c>
      <c r="O74">
        <v>3.6564264999999999E-2</v>
      </c>
      <c r="P74">
        <v>3.0470220999999999E-2</v>
      </c>
      <c r="Q74">
        <v>2.7858488000000001E-2</v>
      </c>
      <c r="R74">
        <v>2.6117332E-2</v>
      </c>
      <c r="S74">
        <v>2.6117332E-2</v>
      </c>
    </row>
    <row r="75" spans="1:19" x14ac:dyDescent="0.25">
      <c r="A75" t="s">
        <v>5</v>
      </c>
      <c r="B75" t="s">
        <v>88</v>
      </c>
      <c r="C75" t="s">
        <v>89</v>
      </c>
      <c r="D75" t="s">
        <v>3</v>
      </c>
      <c r="E75" t="s">
        <v>200</v>
      </c>
      <c r="F75" t="s">
        <v>201</v>
      </c>
      <c r="G75" t="s">
        <v>139</v>
      </c>
      <c r="H75" t="s">
        <v>92</v>
      </c>
      <c r="J75">
        <v>51.491359000000003</v>
      </c>
      <c r="K75">
        <v>9.1656840000000006</v>
      </c>
      <c r="L75" t="s">
        <v>4</v>
      </c>
      <c r="M75">
        <v>1.6134327E-2</v>
      </c>
      <c r="N75">
        <v>1.2548920999999999E-2</v>
      </c>
      <c r="O75">
        <v>1.5058706E-2</v>
      </c>
      <c r="P75">
        <v>1.2548920999999999E-2</v>
      </c>
      <c r="Q75">
        <v>1.1473298999999999E-2</v>
      </c>
      <c r="R75">
        <v>1.0756218E-2</v>
      </c>
      <c r="S75">
        <v>1.0756218E-2</v>
      </c>
    </row>
    <row r="76" spans="1:19" x14ac:dyDescent="0.25">
      <c r="A76" t="s">
        <v>5</v>
      </c>
      <c r="B76" t="s">
        <v>88</v>
      </c>
      <c r="C76" t="s">
        <v>89</v>
      </c>
      <c r="D76" t="s">
        <v>3</v>
      </c>
      <c r="E76" t="s">
        <v>202</v>
      </c>
      <c r="F76" t="s">
        <v>203</v>
      </c>
      <c r="G76" t="s">
        <v>139</v>
      </c>
      <c r="H76" t="s">
        <v>92</v>
      </c>
      <c r="J76">
        <v>51.102179999999997</v>
      </c>
      <c r="K76">
        <v>9.3601209999999995</v>
      </c>
      <c r="L76" t="s">
        <v>4</v>
      </c>
      <c r="M76">
        <v>1.9918057999999999E-2</v>
      </c>
      <c r="N76">
        <v>1.5491823E-2</v>
      </c>
      <c r="O76">
        <v>1.8590188000000001E-2</v>
      </c>
      <c r="P76">
        <v>1.5491823E-2</v>
      </c>
      <c r="Q76">
        <v>1.4163952E-2</v>
      </c>
      <c r="R76">
        <v>1.3278705E-2</v>
      </c>
      <c r="S76">
        <v>1.3278705E-2</v>
      </c>
    </row>
    <row r="77" spans="1:19" x14ac:dyDescent="0.25">
      <c r="A77" t="s">
        <v>5</v>
      </c>
      <c r="B77" t="s">
        <v>88</v>
      </c>
      <c r="C77" t="s">
        <v>89</v>
      </c>
      <c r="D77" t="s">
        <v>3</v>
      </c>
      <c r="E77" t="s">
        <v>204</v>
      </c>
      <c r="F77" t="s">
        <v>205</v>
      </c>
      <c r="G77" t="s">
        <v>139</v>
      </c>
      <c r="H77" t="s">
        <v>92</v>
      </c>
      <c r="J77">
        <v>49.243552000000001</v>
      </c>
      <c r="K77">
        <v>9.1805129999999995</v>
      </c>
      <c r="L77" t="s">
        <v>4</v>
      </c>
      <c r="M77">
        <v>3.6359493999999999E-2</v>
      </c>
      <c r="N77">
        <v>2.8279606999999998E-2</v>
      </c>
      <c r="O77">
        <v>3.3935528E-2</v>
      </c>
      <c r="P77">
        <v>2.8279606999999998E-2</v>
      </c>
      <c r="Q77">
        <v>2.5855639999999999E-2</v>
      </c>
      <c r="R77">
        <v>2.4239663000000002E-2</v>
      </c>
      <c r="S77">
        <v>2.4239663000000002E-2</v>
      </c>
    </row>
    <row r="78" spans="1:19" x14ac:dyDescent="0.25">
      <c r="A78" t="s">
        <v>5</v>
      </c>
      <c r="B78" t="s">
        <v>88</v>
      </c>
      <c r="C78" t="s">
        <v>89</v>
      </c>
      <c r="D78" t="s">
        <v>3</v>
      </c>
      <c r="E78" t="s">
        <v>206</v>
      </c>
      <c r="F78" t="s">
        <v>207</v>
      </c>
      <c r="G78" t="s">
        <v>139</v>
      </c>
      <c r="H78" t="s">
        <v>92</v>
      </c>
      <c r="J78">
        <v>49.665720999999998</v>
      </c>
      <c r="K78">
        <v>10.080456999999999</v>
      </c>
      <c r="L78" t="s">
        <v>4</v>
      </c>
      <c r="M78">
        <v>6.8611114000000001E-2</v>
      </c>
      <c r="N78">
        <v>5.3364199000000001E-2</v>
      </c>
      <c r="O78">
        <v>6.4037039000000004E-2</v>
      </c>
      <c r="P78">
        <v>5.3364199000000001E-2</v>
      </c>
      <c r="Q78">
        <v>4.8790124999999997E-2</v>
      </c>
      <c r="R78">
        <v>4.5740742000000001E-2</v>
      </c>
      <c r="S78">
        <v>4.5740742000000001E-2</v>
      </c>
    </row>
    <row r="79" spans="1:19" x14ac:dyDescent="0.25">
      <c r="A79" t="s">
        <v>5</v>
      </c>
      <c r="B79" t="s">
        <v>88</v>
      </c>
      <c r="C79" t="s">
        <v>89</v>
      </c>
      <c r="D79" t="s">
        <v>3</v>
      </c>
      <c r="E79" t="s">
        <v>135</v>
      </c>
      <c r="F79" t="s">
        <v>136</v>
      </c>
      <c r="G79" t="s">
        <v>139</v>
      </c>
      <c r="H79" t="s">
        <v>92</v>
      </c>
      <c r="J79">
        <v>51.053932000000003</v>
      </c>
      <c r="K79">
        <v>12.110927</v>
      </c>
      <c r="L79" t="s">
        <v>4</v>
      </c>
      <c r="M79">
        <v>0.13392447599999999</v>
      </c>
      <c r="N79">
        <v>0.104163481</v>
      </c>
      <c r="O79">
        <v>0.124996178</v>
      </c>
      <c r="P79">
        <v>0.104163481</v>
      </c>
      <c r="Q79">
        <v>9.5235183000000001E-2</v>
      </c>
      <c r="R79">
        <v>8.9282983999999996E-2</v>
      </c>
      <c r="S79">
        <v>8.9282983999999996E-2</v>
      </c>
    </row>
    <row r="80" spans="1:19" x14ac:dyDescent="0.25">
      <c r="A80" t="s">
        <v>5</v>
      </c>
      <c r="B80" t="s">
        <v>88</v>
      </c>
      <c r="C80" t="s">
        <v>89</v>
      </c>
      <c r="D80" t="s">
        <v>3</v>
      </c>
      <c r="E80" t="s">
        <v>208</v>
      </c>
      <c r="F80" t="s">
        <v>209</v>
      </c>
      <c r="G80" t="s">
        <v>139</v>
      </c>
      <c r="H80" t="s">
        <v>92</v>
      </c>
      <c r="J80">
        <v>51.459828999999999</v>
      </c>
      <c r="K80">
        <v>13.223212999999999</v>
      </c>
      <c r="L80" t="s">
        <v>4</v>
      </c>
      <c r="M80">
        <v>3.4265571000000002E-2</v>
      </c>
      <c r="N80">
        <v>2.6651000000000001E-2</v>
      </c>
      <c r="O80">
        <v>3.1981200000000001E-2</v>
      </c>
      <c r="P80">
        <v>2.6651000000000001E-2</v>
      </c>
      <c r="Q80">
        <v>2.4366628000000001E-2</v>
      </c>
      <c r="R80">
        <v>2.2843714000000001E-2</v>
      </c>
      <c r="S80">
        <v>2.2843714000000001E-2</v>
      </c>
    </row>
    <row r="81" spans="1:19" x14ac:dyDescent="0.25">
      <c r="A81" t="s">
        <v>5</v>
      </c>
      <c r="B81" t="s">
        <v>88</v>
      </c>
      <c r="C81" t="s">
        <v>89</v>
      </c>
      <c r="D81" t="s">
        <v>3</v>
      </c>
      <c r="E81" t="s">
        <v>129</v>
      </c>
      <c r="F81" t="s">
        <v>130</v>
      </c>
      <c r="G81" t="s">
        <v>139</v>
      </c>
      <c r="H81" t="s">
        <v>92</v>
      </c>
      <c r="J81">
        <v>48.69791</v>
      </c>
      <c r="K81">
        <v>10.909583</v>
      </c>
      <c r="L81" t="s">
        <v>4</v>
      </c>
      <c r="M81">
        <v>3.7691086999999998E-2</v>
      </c>
      <c r="N81">
        <v>2.9315290000000001E-2</v>
      </c>
      <c r="O81">
        <v>3.5178347999999998E-2</v>
      </c>
      <c r="P81">
        <v>2.9315290000000001E-2</v>
      </c>
      <c r="Q81">
        <v>2.6802551000000001E-2</v>
      </c>
      <c r="R81">
        <v>2.5127390999999999E-2</v>
      </c>
      <c r="S81">
        <v>2.5127390999999999E-2</v>
      </c>
    </row>
    <row r="82" spans="1:19" x14ac:dyDescent="0.25">
      <c r="A82" t="s">
        <v>5</v>
      </c>
      <c r="B82" t="s">
        <v>88</v>
      </c>
      <c r="C82" t="s">
        <v>89</v>
      </c>
      <c r="D82" t="s">
        <v>3</v>
      </c>
      <c r="E82" t="s">
        <v>210</v>
      </c>
      <c r="F82" t="s">
        <v>211</v>
      </c>
      <c r="G82" t="s">
        <v>139</v>
      </c>
      <c r="H82" t="s">
        <v>92</v>
      </c>
      <c r="J82">
        <v>49.599576999999996</v>
      </c>
      <c r="K82">
        <v>8.2196610000000003</v>
      </c>
      <c r="L82" t="s">
        <v>4</v>
      </c>
      <c r="M82">
        <v>6.7556344000000004E-2</v>
      </c>
      <c r="N82">
        <v>5.2543823000000003E-2</v>
      </c>
      <c r="O82">
        <v>6.3052588000000007E-2</v>
      </c>
      <c r="P82">
        <v>5.2543823000000003E-2</v>
      </c>
      <c r="Q82">
        <v>4.8040066999999999E-2</v>
      </c>
      <c r="R82">
        <v>4.5037563000000003E-2</v>
      </c>
      <c r="S82">
        <v>4.5037563000000003E-2</v>
      </c>
    </row>
    <row r="83" spans="1:19" x14ac:dyDescent="0.25">
      <c r="A83" t="s">
        <v>5</v>
      </c>
      <c r="B83" t="s">
        <v>88</v>
      </c>
      <c r="C83" t="s">
        <v>89</v>
      </c>
      <c r="D83" t="s">
        <v>3</v>
      </c>
      <c r="E83" t="s">
        <v>212</v>
      </c>
      <c r="F83" t="s">
        <v>213</v>
      </c>
      <c r="G83" t="s">
        <v>139</v>
      </c>
      <c r="H83" t="s">
        <v>92</v>
      </c>
      <c r="J83">
        <v>48.786760000000001</v>
      </c>
      <c r="K83">
        <v>12.882771</v>
      </c>
      <c r="L83" t="s">
        <v>4</v>
      </c>
      <c r="M83">
        <v>5.9421039000000002E-2</v>
      </c>
      <c r="N83">
        <v>4.6216364000000003E-2</v>
      </c>
      <c r="O83">
        <v>5.5459636999999999E-2</v>
      </c>
      <c r="P83">
        <v>4.6216364000000003E-2</v>
      </c>
      <c r="Q83">
        <v>4.2254961000000001E-2</v>
      </c>
      <c r="R83">
        <v>3.9614025999999997E-2</v>
      </c>
      <c r="S83">
        <v>3.9614025999999997E-2</v>
      </c>
    </row>
    <row r="84" spans="1:19" x14ac:dyDescent="0.25">
      <c r="A84" t="s">
        <v>5</v>
      </c>
      <c r="B84" t="s">
        <v>88</v>
      </c>
      <c r="C84" t="s">
        <v>89</v>
      </c>
      <c r="D84" t="s">
        <v>3</v>
      </c>
      <c r="E84" t="s">
        <v>214</v>
      </c>
      <c r="F84" t="s">
        <v>215</v>
      </c>
      <c r="G84" t="s">
        <v>7</v>
      </c>
      <c r="H84" t="s">
        <v>92</v>
      </c>
      <c r="J84">
        <v>47.891316660000001</v>
      </c>
      <c r="K84">
        <v>7.6164636420000003</v>
      </c>
      <c r="L84" t="s">
        <v>4</v>
      </c>
      <c r="M84">
        <v>0</v>
      </c>
      <c r="N84">
        <v>3.9440279999999996E-3</v>
      </c>
      <c r="O84">
        <v>2.297486E-2</v>
      </c>
      <c r="P84">
        <v>5.6290736000000001E-2</v>
      </c>
      <c r="Q84">
        <v>8.3387163E-2</v>
      </c>
      <c r="R84">
        <v>0.115849047</v>
      </c>
      <c r="S84">
        <v>0.115849047</v>
      </c>
    </row>
    <row r="85" spans="1:19" x14ac:dyDescent="0.25">
      <c r="A85" t="s">
        <v>5</v>
      </c>
      <c r="B85" t="s">
        <v>88</v>
      </c>
      <c r="C85" t="s">
        <v>89</v>
      </c>
      <c r="D85" t="s">
        <v>3</v>
      </c>
      <c r="E85" t="s">
        <v>216</v>
      </c>
      <c r="F85" t="s">
        <v>217</v>
      </c>
      <c r="G85" t="s">
        <v>7</v>
      </c>
      <c r="H85" t="s">
        <v>92</v>
      </c>
      <c r="J85">
        <v>47.7592316</v>
      </c>
      <c r="K85">
        <v>10.31880001</v>
      </c>
      <c r="L85" t="s">
        <v>4</v>
      </c>
      <c r="M85">
        <v>0</v>
      </c>
      <c r="N85">
        <v>3.411051E-3</v>
      </c>
      <c r="O85">
        <v>1.9870149E-2</v>
      </c>
      <c r="P85">
        <v>4.8683878999999999E-2</v>
      </c>
      <c r="Q85">
        <v>7.2118627000000005E-2</v>
      </c>
      <c r="R85">
        <v>0.100193771</v>
      </c>
      <c r="S85">
        <v>0.100193771</v>
      </c>
    </row>
    <row r="86" spans="1:19" x14ac:dyDescent="0.25">
      <c r="A86" t="s">
        <v>5</v>
      </c>
      <c r="B86" t="s">
        <v>88</v>
      </c>
      <c r="C86" t="s">
        <v>89</v>
      </c>
      <c r="D86" t="s">
        <v>3</v>
      </c>
      <c r="E86" t="s">
        <v>218</v>
      </c>
      <c r="F86" t="s">
        <v>219</v>
      </c>
      <c r="G86" t="s">
        <v>7</v>
      </c>
      <c r="H86" t="s">
        <v>92</v>
      </c>
      <c r="J86">
        <v>47.85607066</v>
      </c>
      <c r="K86">
        <v>12.13358303</v>
      </c>
      <c r="L86" t="s">
        <v>4</v>
      </c>
      <c r="M86">
        <v>0</v>
      </c>
      <c r="N86">
        <v>2.1319070000000002E-3</v>
      </c>
      <c r="O86">
        <v>1.2418843000000001E-2</v>
      </c>
      <c r="P86">
        <v>3.0427425000000001E-2</v>
      </c>
      <c r="Q86">
        <v>4.5074141999999998E-2</v>
      </c>
      <c r="R86">
        <v>6.2621106999999995E-2</v>
      </c>
      <c r="S86">
        <v>6.2621106999999995E-2</v>
      </c>
    </row>
    <row r="87" spans="1:19" x14ac:dyDescent="0.25">
      <c r="A87" t="s">
        <v>5</v>
      </c>
      <c r="B87" t="s">
        <v>88</v>
      </c>
      <c r="C87" t="s">
        <v>89</v>
      </c>
      <c r="D87" t="s">
        <v>3</v>
      </c>
      <c r="E87" t="s">
        <v>220</v>
      </c>
      <c r="F87" t="s">
        <v>221</v>
      </c>
      <c r="G87" t="s">
        <v>7</v>
      </c>
      <c r="H87" t="s">
        <v>92</v>
      </c>
      <c r="J87">
        <v>48.184673170000003</v>
      </c>
      <c r="K87">
        <v>12.738267240000001</v>
      </c>
      <c r="L87" t="s">
        <v>4</v>
      </c>
      <c r="M87">
        <v>0</v>
      </c>
      <c r="N87">
        <v>5.6026510000000002E-3</v>
      </c>
      <c r="O87">
        <v>3.2636720000000001E-2</v>
      </c>
      <c r="P87">
        <v>7.9963272000000002E-2</v>
      </c>
      <c r="Q87">
        <v>0.118454846</v>
      </c>
      <c r="R87">
        <v>0.16456826799999999</v>
      </c>
      <c r="S87">
        <v>0.16456826799999999</v>
      </c>
    </row>
    <row r="88" spans="1:19" x14ac:dyDescent="0.25">
      <c r="A88" t="s">
        <v>5</v>
      </c>
      <c r="B88" t="s">
        <v>88</v>
      </c>
      <c r="C88" t="s">
        <v>89</v>
      </c>
      <c r="D88" t="s">
        <v>3</v>
      </c>
      <c r="E88" t="s">
        <v>222</v>
      </c>
      <c r="F88" t="s">
        <v>223</v>
      </c>
      <c r="G88" t="s">
        <v>7</v>
      </c>
      <c r="H88" t="s">
        <v>92</v>
      </c>
      <c r="J88">
        <v>48.181362759999999</v>
      </c>
      <c r="K88">
        <v>11.637290269999999</v>
      </c>
      <c r="L88" t="s">
        <v>4</v>
      </c>
      <c r="M88">
        <v>0</v>
      </c>
      <c r="N88">
        <v>1.5349730000000001E-2</v>
      </c>
      <c r="O88">
        <v>8.9415672000000002E-2</v>
      </c>
      <c r="P88">
        <v>0.219077457</v>
      </c>
      <c r="Q88">
        <v>0.32453382400000003</v>
      </c>
      <c r="R88">
        <v>0.45087196800000001</v>
      </c>
      <c r="S88">
        <v>0.45087196800000001</v>
      </c>
    </row>
    <row r="89" spans="1:19" x14ac:dyDescent="0.25">
      <c r="A89" t="s">
        <v>5</v>
      </c>
      <c r="B89" t="s">
        <v>88</v>
      </c>
      <c r="C89" t="s">
        <v>89</v>
      </c>
      <c r="D89" t="s">
        <v>3</v>
      </c>
      <c r="E89" t="s">
        <v>224</v>
      </c>
      <c r="F89" t="s">
        <v>225</v>
      </c>
      <c r="G89" t="s">
        <v>7</v>
      </c>
      <c r="H89" t="s">
        <v>92</v>
      </c>
      <c r="J89">
        <v>48.234881199999997</v>
      </c>
      <c r="K89">
        <v>11.35853928</v>
      </c>
      <c r="L89" t="s">
        <v>4</v>
      </c>
      <c r="M89">
        <v>0</v>
      </c>
      <c r="N89">
        <v>2.7288410000000001E-3</v>
      </c>
      <c r="O89">
        <v>1.5896119E-2</v>
      </c>
      <c r="P89">
        <v>3.8947104000000003E-2</v>
      </c>
      <c r="Q89">
        <v>5.7694901999999999E-2</v>
      </c>
      <c r="R89">
        <v>8.0155016999999995E-2</v>
      </c>
      <c r="S89">
        <v>8.0155016999999995E-2</v>
      </c>
    </row>
    <row r="90" spans="1:19" x14ac:dyDescent="0.25">
      <c r="A90" t="s">
        <v>5</v>
      </c>
      <c r="B90" t="s">
        <v>88</v>
      </c>
      <c r="C90" t="s">
        <v>89</v>
      </c>
      <c r="D90" t="s">
        <v>3</v>
      </c>
      <c r="E90" t="s">
        <v>226</v>
      </c>
      <c r="F90" t="s">
        <v>227</v>
      </c>
      <c r="G90" t="s">
        <v>7</v>
      </c>
      <c r="H90" t="s">
        <v>92</v>
      </c>
      <c r="J90">
        <v>48.401756519999999</v>
      </c>
      <c r="K90">
        <v>10.933586930000001</v>
      </c>
      <c r="L90" t="s">
        <v>4</v>
      </c>
      <c r="M90">
        <v>0</v>
      </c>
      <c r="N90">
        <v>5.5429579999999997E-3</v>
      </c>
      <c r="O90">
        <v>3.2288993000000002E-2</v>
      </c>
      <c r="P90">
        <v>7.9111303999999993E-2</v>
      </c>
      <c r="Q90">
        <v>0.11719277</v>
      </c>
      <c r="R90">
        <v>0.162814877</v>
      </c>
      <c r="S90">
        <v>0.162814877</v>
      </c>
    </row>
    <row r="91" spans="1:19" x14ac:dyDescent="0.25">
      <c r="A91" t="s">
        <v>5</v>
      </c>
      <c r="B91" t="s">
        <v>88</v>
      </c>
      <c r="C91" t="s">
        <v>89</v>
      </c>
      <c r="D91" t="s">
        <v>3</v>
      </c>
      <c r="E91" t="s">
        <v>228</v>
      </c>
      <c r="F91" t="s">
        <v>229</v>
      </c>
      <c r="G91" t="s">
        <v>7</v>
      </c>
      <c r="H91" t="s">
        <v>92</v>
      </c>
      <c r="J91">
        <v>48.299242839999998</v>
      </c>
      <c r="K91">
        <v>10.13459591</v>
      </c>
      <c r="L91" t="s">
        <v>4</v>
      </c>
      <c r="M91">
        <v>0</v>
      </c>
      <c r="N91">
        <v>2.2385019999999999E-3</v>
      </c>
      <c r="O91">
        <v>1.3039785999999999E-2</v>
      </c>
      <c r="P91">
        <v>3.1948796000000002E-2</v>
      </c>
      <c r="Q91">
        <v>4.7327848999999998E-2</v>
      </c>
      <c r="R91">
        <v>6.5752162000000003E-2</v>
      </c>
      <c r="S91">
        <v>6.5752162000000003E-2</v>
      </c>
    </row>
    <row r="92" spans="1:19" x14ac:dyDescent="0.25">
      <c r="A92" t="s">
        <v>5</v>
      </c>
      <c r="B92" t="s">
        <v>88</v>
      </c>
      <c r="C92" t="s">
        <v>89</v>
      </c>
      <c r="D92" t="s">
        <v>3</v>
      </c>
      <c r="E92" t="s">
        <v>230</v>
      </c>
      <c r="F92" t="s">
        <v>231</v>
      </c>
      <c r="G92" t="s">
        <v>7</v>
      </c>
      <c r="H92" t="s">
        <v>92</v>
      </c>
      <c r="J92">
        <v>48.363993919999999</v>
      </c>
      <c r="K92">
        <v>9.9550238459999996</v>
      </c>
      <c r="L92" t="s">
        <v>4</v>
      </c>
      <c r="M92">
        <v>0</v>
      </c>
      <c r="N92">
        <v>3.411051E-3</v>
      </c>
      <c r="O92">
        <v>1.9870149E-2</v>
      </c>
      <c r="P92">
        <v>4.8683878999999999E-2</v>
      </c>
      <c r="Q92">
        <v>7.2118627000000005E-2</v>
      </c>
      <c r="R92">
        <v>0.100193771</v>
      </c>
      <c r="S92">
        <v>0.100193771</v>
      </c>
    </row>
    <row r="93" spans="1:19" x14ac:dyDescent="0.25">
      <c r="A93" t="s">
        <v>5</v>
      </c>
      <c r="B93" t="s">
        <v>88</v>
      </c>
      <c r="C93" t="s">
        <v>89</v>
      </c>
      <c r="D93" t="s">
        <v>3</v>
      </c>
      <c r="E93" t="s">
        <v>232</v>
      </c>
      <c r="F93" t="s">
        <v>233</v>
      </c>
      <c r="G93" t="s">
        <v>7</v>
      </c>
      <c r="H93" t="s">
        <v>92</v>
      </c>
      <c r="J93">
        <v>48.682666310000002</v>
      </c>
      <c r="K93">
        <v>9.6712464090000001</v>
      </c>
      <c r="L93" t="s">
        <v>4</v>
      </c>
      <c r="M93">
        <v>0</v>
      </c>
      <c r="N93">
        <v>3.8284780000000002E-3</v>
      </c>
      <c r="O93">
        <v>2.2301759000000001E-2</v>
      </c>
      <c r="P93">
        <v>5.4641569000000001E-2</v>
      </c>
      <c r="Q93">
        <v>8.0944144999999995E-2</v>
      </c>
      <c r="R93">
        <v>0.11245498299999999</v>
      </c>
      <c r="S93">
        <v>0.11245498299999999</v>
      </c>
    </row>
    <row r="94" spans="1:19" x14ac:dyDescent="0.25">
      <c r="A94" t="s">
        <v>5</v>
      </c>
      <c r="B94" t="s">
        <v>88</v>
      </c>
      <c r="C94" t="s">
        <v>89</v>
      </c>
      <c r="D94" t="s">
        <v>3</v>
      </c>
      <c r="E94" t="s">
        <v>234</v>
      </c>
      <c r="F94" t="s">
        <v>235</v>
      </c>
      <c r="G94" t="s">
        <v>7</v>
      </c>
      <c r="H94" t="s">
        <v>92</v>
      </c>
      <c r="J94">
        <v>48.692656929999998</v>
      </c>
      <c r="K94">
        <v>9.0629316150000001</v>
      </c>
      <c r="L94" t="s">
        <v>4</v>
      </c>
      <c r="M94">
        <v>0</v>
      </c>
      <c r="N94">
        <v>3.3470940000000001E-3</v>
      </c>
      <c r="O94">
        <v>1.9497583999999998E-2</v>
      </c>
      <c r="P94">
        <v>4.7771056999999999E-2</v>
      </c>
      <c r="Q94">
        <v>7.0766403000000005E-2</v>
      </c>
      <c r="R94">
        <v>9.8315136999999997E-2</v>
      </c>
      <c r="S94">
        <v>9.8315136999999997E-2</v>
      </c>
    </row>
    <row r="95" spans="1:19" x14ac:dyDescent="0.25">
      <c r="A95" t="s">
        <v>5</v>
      </c>
      <c r="B95" t="s">
        <v>88</v>
      </c>
      <c r="C95" t="s">
        <v>89</v>
      </c>
      <c r="D95" t="s">
        <v>3</v>
      </c>
      <c r="E95" t="s">
        <v>236</v>
      </c>
      <c r="F95" t="s">
        <v>237</v>
      </c>
      <c r="G95" t="s">
        <v>7</v>
      </c>
      <c r="H95" t="s">
        <v>92</v>
      </c>
      <c r="J95">
        <v>48.812675980000002</v>
      </c>
      <c r="K95">
        <v>9.2192278539999997</v>
      </c>
      <c r="L95" t="s">
        <v>4</v>
      </c>
      <c r="M95">
        <v>0</v>
      </c>
      <c r="N95">
        <v>8.5276280000000006E-3</v>
      </c>
      <c r="O95">
        <v>4.9675373000000002E-2</v>
      </c>
      <c r="P95">
        <v>0.121709699</v>
      </c>
      <c r="Q95">
        <v>0.18029656899999999</v>
      </c>
      <c r="R95">
        <v>0.25048442700000001</v>
      </c>
      <c r="S95">
        <v>0.25048442700000001</v>
      </c>
    </row>
    <row r="96" spans="1:19" x14ac:dyDescent="0.25">
      <c r="A96" t="s">
        <v>5</v>
      </c>
      <c r="B96" t="s">
        <v>88</v>
      </c>
      <c r="C96" t="s">
        <v>89</v>
      </c>
      <c r="D96" t="s">
        <v>3</v>
      </c>
      <c r="E96" t="s">
        <v>238</v>
      </c>
      <c r="F96" t="s">
        <v>239</v>
      </c>
      <c r="G96" t="s">
        <v>7</v>
      </c>
      <c r="H96" t="s">
        <v>92</v>
      </c>
      <c r="J96">
        <v>48.764951609999997</v>
      </c>
      <c r="K96">
        <v>11.49198625</v>
      </c>
      <c r="L96" t="s">
        <v>4</v>
      </c>
      <c r="M96">
        <v>0</v>
      </c>
      <c r="N96">
        <v>5.4363629999999996E-3</v>
      </c>
      <c r="O96">
        <v>3.1668051000000003E-2</v>
      </c>
      <c r="P96">
        <v>7.7589933E-2</v>
      </c>
      <c r="Q96">
        <v>0.11493906299999999</v>
      </c>
      <c r="R96">
        <v>0.159683822</v>
      </c>
      <c r="S96">
        <v>0.159683822</v>
      </c>
    </row>
    <row r="97" spans="1:19" x14ac:dyDescent="0.25">
      <c r="A97" t="s">
        <v>5</v>
      </c>
      <c r="B97" t="s">
        <v>88</v>
      </c>
      <c r="C97" t="s">
        <v>89</v>
      </c>
      <c r="D97" t="s">
        <v>3</v>
      </c>
      <c r="E97" t="s">
        <v>123</v>
      </c>
      <c r="F97" t="s">
        <v>124</v>
      </c>
      <c r="G97" t="s">
        <v>7</v>
      </c>
      <c r="H97" t="s">
        <v>92</v>
      </c>
      <c r="J97">
        <v>49.310909559999999</v>
      </c>
      <c r="K97">
        <v>12.085679600000001</v>
      </c>
      <c r="L97" t="s">
        <v>4</v>
      </c>
      <c r="M97">
        <v>0</v>
      </c>
      <c r="N97">
        <v>9.5935810000000003E-3</v>
      </c>
      <c r="O97">
        <v>5.5884795000000001E-2</v>
      </c>
      <c r="P97">
        <v>0.13692341099999999</v>
      </c>
      <c r="Q97">
        <v>0.20283364000000001</v>
      </c>
      <c r="R97">
        <v>0.28179497999999997</v>
      </c>
      <c r="S97">
        <v>0.28179497999999997</v>
      </c>
    </row>
    <row r="98" spans="1:19" x14ac:dyDescent="0.25">
      <c r="A98" t="s">
        <v>5</v>
      </c>
      <c r="B98" t="s">
        <v>88</v>
      </c>
      <c r="C98" t="s">
        <v>89</v>
      </c>
      <c r="D98" t="s">
        <v>3</v>
      </c>
      <c r="E98" t="s">
        <v>240</v>
      </c>
      <c r="F98" t="s">
        <v>241</v>
      </c>
      <c r="G98" t="s">
        <v>7</v>
      </c>
      <c r="H98" t="s">
        <v>92</v>
      </c>
      <c r="J98">
        <v>49.43652823</v>
      </c>
      <c r="K98">
        <v>11.055938429999999</v>
      </c>
      <c r="L98" t="s">
        <v>4</v>
      </c>
      <c r="M98">
        <v>0</v>
      </c>
      <c r="N98">
        <v>4.9137850000000004E-3</v>
      </c>
      <c r="O98">
        <v>2.8623919000000001E-2</v>
      </c>
      <c r="P98">
        <v>7.0131502999999998E-2</v>
      </c>
      <c r="Q98">
        <v>0.10389040099999999</v>
      </c>
      <c r="R98">
        <v>0.14433401400000001</v>
      </c>
      <c r="S98">
        <v>0.14433401400000001</v>
      </c>
    </row>
    <row r="99" spans="1:19" x14ac:dyDescent="0.25">
      <c r="A99" t="s">
        <v>5</v>
      </c>
      <c r="B99" t="s">
        <v>88</v>
      </c>
      <c r="C99" t="s">
        <v>89</v>
      </c>
      <c r="D99" t="s">
        <v>3</v>
      </c>
      <c r="E99" t="s">
        <v>242</v>
      </c>
      <c r="F99" t="s">
        <v>243</v>
      </c>
      <c r="G99" t="s">
        <v>7</v>
      </c>
      <c r="H99" t="s">
        <v>92</v>
      </c>
      <c r="J99">
        <v>49.48472941</v>
      </c>
      <c r="K99">
        <v>8.4277331459999996</v>
      </c>
      <c r="L99" t="s">
        <v>4</v>
      </c>
      <c r="M99">
        <v>0</v>
      </c>
      <c r="N99">
        <v>5.1165769999999998E-3</v>
      </c>
      <c r="O99">
        <v>2.9805224000000002E-2</v>
      </c>
      <c r="P99">
        <v>7.3025819000000006E-2</v>
      </c>
      <c r="Q99">
        <v>0.108177941</v>
      </c>
      <c r="R99">
        <v>0.15029065599999999</v>
      </c>
      <c r="S99">
        <v>0.15029065599999999</v>
      </c>
    </row>
    <row r="100" spans="1:19" x14ac:dyDescent="0.25">
      <c r="A100" t="s">
        <v>5</v>
      </c>
      <c r="B100" t="s">
        <v>88</v>
      </c>
      <c r="C100" t="s">
        <v>89</v>
      </c>
      <c r="D100" t="s">
        <v>3</v>
      </c>
      <c r="E100" t="s">
        <v>244</v>
      </c>
      <c r="F100" t="s">
        <v>245</v>
      </c>
      <c r="G100" t="s">
        <v>7</v>
      </c>
      <c r="H100" t="s">
        <v>92</v>
      </c>
      <c r="J100">
        <v>49.228362009999998</v>
      </c>
      <c r="K100">
        <v>7.5947836420000003</v>
      </c>
      <c r="L100" t="s">
        <v>4</v>
      </c>
      <c r="M100">
        <v>0</v>
      </c>
      <c r="N100">
        <v>3.837432E-3</v>
      </c>
      <c r="O100">
        <v>2.2353918E-2</v>
      </c>
      <c r="P100">
        <v>5.4769364000000001E-2</v>
      </c>
      <c r="Q100">
        <v>8.1133456000000007E-2</v>
      </c>
      <c r="R100">
        <v>0.112717992</v>
      </c>
      <c r="S100">
        <v>0.112717992</v>
      </c>
    </row>
    <row r="101" spans="1:19" x14ac:dyDescent="0.25">
      <c r="A101" t="s">
        <v>5</v>
      </c>
      <c r="B101" t="s">
        <v>88</v>
      </c>
      <c r="C101" t="s">
        <v>89</v>
      </c>
      <c r="D101" t="s">
        <v>3</v>
      </c>
      <c r="E101" t="s">
        <v>246</v>
      </c>
      <c r="F101" t="s">
        <v>247</v>
      </c>
      <c r="G101" t="s">
        <v>7</v>
      </c>
      <c r="H101" t="s">
        <v>92</v>
      </c>
      <c r="J101">
        <v>49.338381650000002</v>
      </c>
      <c r="K101">
        <v>7.1695241310000002</v>
      </c>
      <c r="L101" t="s">
        <v>4</v>
      </c>
      <c r="M101">
        <v>0</v>
      </c>
      <c r="N101">
        <v>3.837432E-3</v>
      </c>
      <c r="O101">
        <v>2.2353918E-2</v>
      </c>
      <c r="P101">
        <v>5.4769364000000001E-2</v>
      </c>
      <c r="Q101">
        <v>8.1133456000000007E-2</v>
      </c>
      <c r="R101">
        <v>0.112717992</v>
      </c>
      <c r="S101">
        <v>0.112717992</v>
      </c>
    </row>
    <row r="102" spans="1:19" x14ac:dyDescent="0.25">
      <c r="A102" t="s">
        <v>5</v>
      </c>
      <c r="B102" t="s">
        <v>88</v>
      </c>
      <c r="C102" t="s">
        <v>89</v>
      </c>
      <c r="D102" t="s">
        <v>3</v>
      </c>
      <c r="E102" t="s">
        <v>248</v>
      </c>
      <c r="F102" t="s">
        <v>249</v>
      </c>
      <c r="G102" t="s">
        <v>7</v>
      </c>
      <c r="H102" t="s">
        <v>92</v>
      </c>
      <c r="J102">
        <v>49.21418405</v>
      </c>
      <c r="K102">
        <v>6.8342256749999999</v>
      </c>
      <c r="L102" t="s">
        <v>4</v>
      </c>
      <c r="M102">
        <v>0</v>
      </c>
      <c r="N102">
        <v>5.4363629999999996E-3</v>
      </c>
      <c r="O102">
        <v>3.1668051000000003E-2</v>
      </c>
      <c r="P102">
        <v>7.7589933E-2</v>
      </c>
      <c r="Q102">
        <v>0.11493906299999999</v>
      </c>
      <c r="R102">
        <v>0.159683822</v>
      </c>
      <c r="S102">
        <v>0.159683822</v>
      </c>
    </row>
    <row r="103" spans="1:19" x14ac:dyDescent="0.25">
      <c r="A103" t="s">
        <v>5</v>
      </c>
      <c r="B103" t="s">
        <v>88</v>
      </c>
      <c r="C103" t="s">
        <v>89</v>
      </c>
      <c r="D103" t="s">
        <v>3</v>
      </c>
      <c r="E103" t="s">
        <v>250</v>
      </c>
      <c r="F103" t="s">
        <v>251</v>
      </c>
      <c r="G103" t="s">
        <v>7</v>
      </c>
      <c r="H103" t="s">
        <v>92</v>
      </c>
      <c r="J103">
        <v>49.524153130000002</v>
      </c>
      <c r="K103">
        <v>8.452034823</v>
      </c>
      <c r="L103" t="s">
        <v>4</v>
      </c>
      <c r="M103">
        <v>0</v>
      </c>
      <c r="N103">
        <v>1.4923347999999999E-2</v>
      </c>
      <c r="O103">
        <v>8.6931904000000004E-2</v>
      </c>
      <c r="P103">
        <v>0.212991972</v>
      </c>
      <c r="Q103">
        <v>0.31551899500000002</v>
      </c>
      <c r="R103">
        <v>0.43834774700000001</v>
      </c>
      <c r="S103">
        <v>0.43834774700000001</v>
      </c>
    </row>
    <row r="104" spans="1:19" x14ac:dyDescent="0.25">
      <c r="A104" t="s">
        <v>5</v>
      </c>
      <c r="B104" t="s">
        <v>88</v>
      </c>
      <c r="C104" t="s">
        <v>89</v>
      </c>
      <c r="D104" t="s">
        <v>3</v>
      </c>
      <c r="E104" t="s">
        <v>252</v>
      </c>
      <c r="F104" t="s">
        <v>253</v>
      </c>
      <c r="G104" t="s">
        <v>7</v>
      </c>
      <c r="H104" t="s">
        <v>92</v>
      </c>
      <c r="J104">
        <v>49.9112607</v>
      </c>
      <c r="K104">
        <v>10.8544523</v>
      </c>
      <c r="L104" t="s">
        <v>4</v>
      </c>
      <c r="M104">
        <v>0</v>
      </c>
      <c r="N104">
        <v>2.5445160000000001E-3</v>
      </c>
      <c r="O104">
        <v>1.4822386E-2</v>
      </c>
      <c r="P104">
        <v>3.6316347999999998E-2</v>
      </c>
      <c r="Q104">
        <v>5.3797791999999997E-2</v>
      </c>
      <c r="R104">
        <v>7.4740795999999998E-2</v>
      </c>
      <c r="S104">
        <v>7.4740795999999998E-2</v>
      </c>
    </row>
    <row r="105" spans="1:19" x14ac:dyDescent="0.25">
      <c r="A105" t="s">
        <v>5</v>
      </c>
      <c r="B105" t="s">
        <v>88</v>
      </c>
      <c r="C105" t="s">
        <v>89</v>
      </c>
      <c r="D105" t="s">
        <v>3</v>
      </c>
      <c r="E105" t="s">
        <v>254</v>
      </c>
      <c r="F105" t="s">
        <v>255</v>
      </c>
      <c r="G105" t="s">
        <v>7</v>
      </c>
      <c r="H105" t="s">
        <v>92</v>
      </c>
      <c r="J105">
        <v>50.284546259999999</v>
      </c>
      <c r="K105">
        <v>10.9548916</v>
      </c>
      <c r="L105" t="s">
        <v>4</v>
      </c>
      <c r="M105">
        <v>0</v>
      </c>
      <c r="N105">
        <v>3.0273079999999998E-3</v>
      </c>
      <c r="O105">
        <v>1.7634758E-2</v>
      </c>
      <c r="P105">
        <v>4.3206942999999998E-2</v>
      </c>
      <c r="Q105">
        <v>6.4005281999999997E-2</v>
      </c>
      <c r="R105">
        <v>8.8921971000000002E-2</v>
      </c>
      <c r="S105">
        <v>8.8921971000000002E-2</v>
      </c>
    </row>
    <row r="106" spans="1:19" x14ac:dyDescent="0.25">
      <c r="A106" t="s">
        <v>5</v>
      </c>
      <c r="B106" t="s">
        <v>88</v>
      </c>
      <c r="C106" t="s">
        <v>89</v>
      </c>
      <c r="D106" t="s">
        <v>3</v>
      </c>
      <c r="E106" t="s">
        <v>256</v>
      </c>
      <c r="F106" t="s">
        <v>257</v>
      </c>
      <c r="G106" t="s">
        <v>7</v>
      </c>
      <c r="H106" t="s">
        <v>92</v>
      </c>
      <c r="J106">
        <v>50.030026589999999</v>
      </c>
      <c r="K106">
        <v>10.22397774</v>
      </c>
      <c r="L106" t="s">
        <v>4</v>
      </c>
      <c r="M106">
        <v>0</v>
      </c>
      <c r="N106">
        <v>4.1742740000000004E-3</v>
      </c>
      <c r="O106">
        <v>2.4316094999999999E-2</v>
      </c>
      <c r="P106">
        <v>5.9576896999999997E-2</v>
      </c>
      <c r="Q106">
        <v>8.8255169999999994E-2</v>
      </c>
      <c r="R106">
        <v>0.122612127</v>
      </c>
      <c r="S106">
        <v>0.122612127</v>
      </c>
    </row>
    <row r="107" spans="1:19" x14ac:dyDescent="0.25">
      <c r="A107" t="s">
        <v>5</v>
      </c>
      <c r="B107" t="s">
        <v>88</v>
      </c>
      <c r="C107" t="s">
        <v>89</v>
      </c>
      <c r="D107" t="s">
        <v>3</v>
      </c>
      <c r="E107" t="s">
        <v>258</v>
      </c>
      <c r="F107" t="s">
        <v>259</v>
      </c>
      <c r="G107" t="s">
        <v>7</v>
      </c>
      <c r="H107" t="s">
        <v>92</v>
      </c>
      <c r="J107">
        <v>49.79306038</v>
      </c>
      <c r="K107">
        <v>9.9938927960000008</v>
      </c>
      <c r="L107" t="s">
        <v>4</v>
      </c>
      <c r="M107">
        <v>0</v>
      </c>
      <c r="N107">
        <v>4.2638140000000003E-3</v>
      </c>
      <c r="O107">
        <v>2.4837687000000001E-2</v>
      </c>
      <c r="P107">
        <v>6.0854849000000003E-2</v>
      </c>
      <c r="Q107">
        <v>9.0148283999999995E-2</v>
      </c>
      <c r="R107">
        <v>0.12524221299999999</v>
      </c>
      <c r="S107">
        <v>0.12524221299999999</v>
      </c>
    </row>
    <row r="108" spans="1:19" x14ac:dyDescent="0.25">
      <c r="A108" t="s">
        <v>5</v>
      </c>
      <c r="B108" t="s">
        <v>88</v>
      </c>
      <c r="C108" t="s">
        <v>89</v>
      </c>
      <c r="D108" t="s">
        <v>3</v>
      </c>
      <c r="E108" t="s">
        <v>260</v>
      </c>
      <c r="F108" t="s">
        <v>261</v>
      </c>
      <c r="G108" t="s">
        <v>7</v>
      </c>
      <c r="H108" t="s">
        <v>92</v>
      </c>
      <c r="J108">
        <v>50.065175170000003</v>
      </c>
      <c r="K108">
        <v>8.7686207950000004</v>
      </c>
      <c r="L108" t="s">
        <v>4</v>
      </c>
      <c r="M108">
        <v>0</v>
      </c>
      <c r="N108">
        <v>6.395721E-3</v>
      </c>
      <c r="O108">
        <v>3.7256530000000003E-2</v>
      </c>
      <c r="P108">
        <v>9.1282273999999997E-2</v>
      </c>
      <c r="Q108">
        <v>0.13522242700000001</v>
      </c>
      <c r="R108">
        <v>0.18786332</v>
      </c>
      <c r="S108">
        <v>0.18786332</v>
      </c>
    </row>
    <row r="109" spans="1:19" x14ac:dyDescent="0.25">
      <c r="A109" t="s">
        <v>5</v>
      </c>
      <c r="B109" t="s">
        <v>88</v>
      </c>
      <c r="C109" t="s">
        <v>89</v>
      </c>
      <c r="D109" t="s">
        <v>3</v>
      </c>
      <c r="E109" t="s">
        <v>262</v>
      </c>
      <c r="F109" t="s">
        <v>263</v>
      </c>
      <c r="G109" t="s">
        <v>7</v>
      </c>
      <c r="H109" t="s">
        <v>92</v>
      </c>
      <c r="J109">
        <v>50.161785950000002</v>
      </c>
      <c r="K109">
        <v>8.635333481</v>
      </c>
      <c r="L109" t="s">
        <v>4</v>
      </c>
      <c r="M109">
        <v>0</v>
      </c>
      <c r="N109">
        <v>1.4390372E-2</v>
      </c>
      <c r="O109">
        <v>8.3827192999999994E-2</v>
      </c>
      <c r="P109">
        <v>0.20538511600000001</v>
      </c>
      <c r="Q109">
        <v>0.30425046</v>
      </c>
      <c r="R109">
        <v>0.42269246999999999</v>
      </c>
      <c r="S109">
        <v>0.42269246999999999</v>
      </c>
    </row>
    <row r="110" spans="1:19" x14ac:dyDescent="0.25">
      <c r="A110" t="s">
        <v>5</v>
      </c>
      <c r="B110" t="s">
        <v>88</v>
      </c>
      <c r="C110" t="s">
        <v>89</v>
      </c>
      <c r="D110" t="s">
        <v>3</v>
      </c>
      <c r="E110" t="s">
        <v>113</v>
      </c>
      <c r="F110" t="s">
        <v>114</v>
      </c>
      <c r="G110" t="s">
        <v>7</v>
      </c>
      <c r="H110" t="s">
        <v>92</v>
      </c>
      <c r="J110">
        <v>50.02556878</v>
      </c>
      <c r="K110">
        <v>8.2429430860000004</v>
      </c>
      <c r="L110" t="s">
        <v>4</v>
      </c>
      <c r="M110">
        <v>0</v>
      </c>
      <c r="N110">
        <v>7.2484840000000004E-3</v>
      </c>
      <c r="O110">
        <v>4.2224066999999997E-2</v>
      </c>
      <c r="P110">
        <v>0.103453244</v>
      </c>
      <c r="Q110">
        <v>0.15325208300000001</v>
      </c>
      <c r="R110">
        <v>0.212911763</v>
      </c>
      <c r="S110">
        <v>0.212911763</v>
      </c>
    </row>
    <row r="111" spans="1:19" x14ac:dyDescent="0.25">
      <c r="A111" t="s">
        <v>5</v>
      </c>
      <c r="B111" t="s">
        <v>88</v>
      </c>
      <c r="C111" t="s">
        <v>89</v>
      </c>
      <c r="D111" t="s">
        <v>3</v>
      </c>
      <c r="E111" t="s">
        <v>113</v>
      </c>
      <c r="F111" t="s">
        <v>114</v>
      </c>
      <c r="G111" t="s">
        <v>7</v>
      </c>
      <c r="H111" t="s">
        <v>92</v>
      </c>
      <c r="J111">
        <v>50.042577919999999</v>
      </c>
      <c r="K111">
        <v>8.2625523960000002</v>
      </c>
      <c r="L111" t="s">
        <v>4</v>
      </c>
      <c r="M111">
        <v>0</v>
      </c>
      <c r="N111">
        <v>4.1572179999999999E-3</v>
      </c>
      <c r="O111">
        <v>2.4216745000000001E-2</v>
      </c>
      <c r="P111">
        <v>5.9333478000000002E-2</v>
      </c>
      <c r="Q111">
        <v>8.7894577000000002E-2</v>
      </c>
      <c r="R111">
        <v>0.122111158</v>
      </c>
      <c r="S111">
        <v>0.122111158</v>
      </c>
    </row>
    <row r="112" spans="1:19" x14ac:dyDescent="0.25">
      <c r="A112" t="s">
        <v>5</v>
      </c>
      <c r="B112" t="s">
        <v>88</v>
      </c>
      <c r="C112" t="s">
        <v>89</v>
      </c>
      <c r="D112" t="s">
        <v>3</v>
      </c>
      <c r="E112" t="s">
        <v>262</v>
      </c>
      <c r="F112" t="s">
        <v>263</v>
      </c>
      <c r="G112" t="s">
        <v>7</v>
      </c>
      <c r="H112" t="s">
        <v>92</v>
      </c>
      <c r="J112">
        <v>50.07995081</v>
      </c>
      <c r="K112">
        <v>8.5324263560000002</v>
      </c>
      <c r="L112" t="s">
        <v>4</v>
      </c>
      <c r="M112">
        <v>0</v>
      </c>
      <c r="N112">
        <v>1.4923347999999999E-2</v>
      </c>
      <c r="O112">
        <v>8.6931904000000004E-2</v>
      </c>
      <c r="P112">
        <v>0.212991972</v>
      </c>
      <c r="Q112">
        <v>0.31551899500000002</v>
      </c>
      <c r="R112">
        <v>0.43834774700000001</v>
      </c>
      <c r="S112">
        <v>0.43834774700000001</v>
      </c>
    </row>
    <row r="113" spans="1:19" x14ac:dyDescent="0.25">
      <c r="A113" t="s">
        <v>5</v>
      </c>
      <c r="B113" t="s">
        <v>88</v>
      </c>
      <c r="C113" t="s">
        <v>89</v>
      </c>
      <c r="D113" t="s">
        <v>3</v>
      </c>
      <c r="E113" t="s">
        <v>264</v>
      </c>
      <c r="F113" t="s">
        <v>265</v>
      </c>
      <c r="G113" t="s">
        <v>7</v>
      </c>
      <c r="H113" t="s">
        <v>92</v>
      </c>
      <c r="J113">
        <v>49.883550450000001</v>
      </c>
      <c r="K113">
        <v>8.6452617810000003</v>
      </c>
      <c r="L113" t="s">
        <v>4</v>
      </c>
      <c r="M113">
        <v>0</v>
      </c>
      <c r="N113">
        <v>4.5196400000000001E-4</v>
      </c>
      <c r="O113">
        <v>2.6327949999999998E-3</v>
      </c>
      <c r="P113">
        <v>6.4506140000000003E-3</v>
      </c>
      <c r="Q113">
        <v>9.5557179999999995E-3</v>
      </c>
      <c r="R113">
        <v>1.3275675000000001E-2</v>
      </c>
      <c r="S113">
        <v>1.3275675000000001E-2</v>
      </c>
    </row>
    <row r="114" spans="1:19" x14ac:dyDescent="0.25">
      <c r="A114" t="s">
        <v>5</v>
      </c>
      <c r="B114" t="s">
        <v>88</v>
      </c>
      <c r="C114" t="s">
        <v>89</v>
      </c>
      <c r="D114" t="s">
        <v>3</v>
      </c>
      <c r="E114" t="s">
        <v>266</v>
      </c>
      <c r="F114" t="s">
        <v>267</v>
      </c>
      <c r="G114" t="s">
        <v>7</v>
      </c>
      <c r="H114" t="s">
        <v>92</v>
      </c>
      <c r="J114">
        <v>50.686880760000001</v>
      </c>
      <c r="K114">
        <v>11.33025072</v>
      </c>
      <c r="L114" t="s">
        <v>4</v>
      </c>
      <c r="M114">
        <v>0</v>
      </c>
      <c r="N114">
        <v>1.705526E-3</v>
      </c>
      <c r="O114">
        <v>9.9350749999999998E-3</v>
      </c>
      <c r="P114">
        <v>2.4341939999999999E-2</v>
      </c>
      <c r="Q114">
        <v>3.6059314000000002E-2</v>
      </c>
      <c r="R114">
        <v>5.0096885000000001E-2</v>
      </c>
      <c r="S114">
        <v>5.0096885000000001E-2</v>
      </c>
    </row>
    <row r="115" spans="1:19" x14ac:dyDescent="0.25">
      <c r="A115" t="s">
        <v>5</v>
      </c>
      <c r="B115" t="s">
        <v>88</v>
      </c>
      <c r="C115" t="s">
        <v>89</v>
      </c>
      <c r="D115" t="s">
        <v>3</v>
      </c>
      <c r="E115" t="s">
        <v>268</v>
      </c>
      <c r="F115" t="s">
        <v>269</v>
      </c>
      <c r="G115" t="s">
        <v>7</v>
      </c>
      <c r="H115" t="s">
        <v>92</v>
      </c>
      <c r="J115">
        <v>50.638619630000001</v>
      </c>
      <c r="K115">
        <v>10.68675861</v>
      </c>
      <c r="L115" t="s">
        <v>4</v>
      </c>
      <c r="M115">
        <v>0</v>
      </c>
      <c r="N115">
        <v>3.411051E-3</v>
      </c>
      <c r="O115">
        <v>1.9870149E-2</v>
      </c>
      <c r="P115">
        <v>4.8683878999999999E-2</v>
      </c>
      <c r="Q115">
        <v>7.2118627000000005E-2</v>
      </c>
      <c r="R115">
        <v>0.100193771</v>
      </c>
      <c r="S115">
        <v>0.100193771</v>
      </c>
    </row>
    <row r="116" spans="1:19" x14ac:dyDescent="0.25">
      <c r="A116" t="s">
        <v>5</v>
      </c>
      <c r="B116" t="s">
        <v>88</v>
      </c>
      <c r="C116" t="s">
        <v>89</v>
      </c>
      <c r="D116" t="s">
        <v>3</v>
      </c>
      <c r="E116" t="s">
        <v>270</v>
      </c>
      <c r="F116" t="s">
        <v>271</v>
      </c>
      <c r="G116" t="s">
        <v>7</v>
      </c>
      <c r="H116" t="s">
        <v>92</v>
      </c>
      <c r="J116">
        <v>50.567930369999999</v>
      </c>
      <c r="K116">
        <v>8.6788467249999997</v>
      </c>
      <c r="L116" t="s">
        <v>4</v>
      </c>
      <c r="M116">
        <v>0</v>
      </c>
      <c r="N116">
        <v>1.108592E-3</v>
      </c>
      <c r="O116">
        <v>6.4577990000000002E-3</v>
      </c>
      <c r="P116">
        <v>1.5822261000000001E-2</v>
      </c>
      <c r="Q116">
        <v>2.3438554E-2</v>
      </c>
      <c r="R116">
        <v>3.2562975000000001E-2</v>
      </c>
      <c r="S116">
        <v>3.2562975000000001E-2</v>
      </c>
    </row>
    <row r="117" spans="1:19" x14ac:dyDescent="0.25">
      <c r="A117" t="s">
        <v>5</v>
      </c>
      <c r="B117" t="s">
        <v>88</v>
      </c>
      <c r="C117" t="s">
        <v>89</v>
      </c>
      <c r="D117" t="s">
        <v>3</v>
      </c>
      <c r="E117" t="s">
        <v>272</v>
      </c>
      <c r="F117" t="s">
        <v>273</v>
      </c>
      <c r="G117" t="s">
        <v>7</v>
      </c>
      <c r="H117" t="s">
        <v>92</v>
      </c>
      <c r="J117">
        <v>50.434591400000002</v>
      </c>
      <c r="K117">
        <v>7.4319558109999999</v>
      </c>
      <c r="L117" t="s">
        <v>4</v>
      </c>
      <c r="M117">
        <v>0</v>
      </c>
      <c r="N117">
        <v>2.98467E-3</v>
      </c>
      <c r="O117">
        <v>1.7386380999999999E-2</v>
      </c>
      <c r="P117">
        <v>4.2598393999999998E-2</v>
      </c>
      <c r="Q117">
        <v>6.3103799000000002E-2</v>
      </c>
      <c r="R117">
        <v>8.7669548999999999E-2</v>
      </c>
      <c r="S117">
        <v>8.7669548999999999E-2</v>
      </c>
    </row>
    <row r="118" spans="1:19" x14ac:dyDescent="0.25">
      <c r="A118" t="s">
        <v>5</v>
      </c>
      <c r="B118" t="s">
        <v>88</v>
      </c>
      <c r="C118" t="s">
        <v>89</v>
      </c>
      <c r="D118" t="s">
        <v>3</v>
      </c>
      <c r="E118" t="s">
        <v>274</v>
      </c>
      <c r="F118" t="s">
        <v>275</v>
      </c>
      <c r="G118" t="s">
        <v>7</v>
      </c>
      <c r="H118" t="s">
        <v>92</v>
      </c>
      <c r="J118">
        <v>51.019662080000003</v>
      </c>
      <c r="K118">
        <v>11.04083041</v>
      </c>
      <c r="L118" t="s">
        <v>4</v>
      </c>
      <c r="M118">
        <v>0</v>
      </c>
      <c r="N118">
        <v>1.5989299999999999E-3</v>
      </c>
      <c r="O118">
        <v>9.3141330000000005E-3</v>
      </c>
      <c r="P118">
        <v>2.2820567999999999E-2</v>
      </c>
      <c r="Q118">
        <v>3.3805607000000001E-2</v>
      </c>
      <c r="R118">
        <v>4.696583E-2</v>
      </c>
      <c r="S118">
        <v>4.696583E-2</v>
      </c>
    </row>
    <row r="119" spans="1:19" x14ac:dyDescent="0.25">
      <c r="A119" t="s">
        <v>5</v>
      </c>
      <c r="B119" t="s">
        <v>88</v>
      </c>
      <c r="C119" t="s">
        <v>89</v>
      </c>
      <c r="D119" t="s">
        <v>3</v>
      </c>
      <c r="E119" t="s">
        <v>276</v>
      </c>
      <c r="F119" t="s">
        <v>277</v>
      </c>
      <c r="G119" t="s">
        <v>7</v>
      </c>
      <c r="H119" t="s">
        <v>92</v>
      </c>
      <c r="J119">
        <v>50.893422319999999</v>
      </c>
      <c r="K119">
        <v>10.00017514</v>
      </c>
      <c r="L119" t="s">
        <v>4</v>
      </c>
      <c r="M119">
        <v>0</v>
      </c>
      <c r="N119">
        <v>6.344555E-3</v>
      </c>
      <c r="O119">
        <v>3.6958478000000003E-2</v>
      </c>
      <c r="P119">
        <v>9.0552015999999999E-2</v>
      </c>
      <c r="Q119">
        <v>0.134140647</v>
      </c>
      <c r="R119">
        <v>0.186360413</v>
      </c>
      <c r="S119">
        <v>0.186360413</v>
      </c>
    </row>
    <row r="120" spans="1:19" x14ac:dyDescent="0.25">
      <c r="A120" t="s">
        <v>5</v>
      </c>
      <c r="B120" t="s">
        <v>88</v>
      </c>
      <c r="C120" t="s">
        <v>89</v>
      </c>
      <c r="D120" t="s">
        <v>3</v>
      </c>
      <c r="E120" t="s">
        <v>278</v>
      </c>
      <c r="F120" t="s">
        <v>279</v>
      </c>
      <c r="G120" t="s">
        <v>7</v>
      </c>
      <c r="H120" t="s">
        <v>92</v>
      </c>
      <c r="J120">
        <v>50.73387829</v>
      </c>
      <c r="K120">
        <v>7.0774461679999998</v>
      </c>
      <c r="L120" t="s">
        <v>4</v>
      </c>
      <c r="M120">
        <v>0</v>
      </c>
      <c r="N120">
        <v>5.5429579999999997E-3</v>
      </c>
      <c r="O120">
        <v>3.2288993000000002E-2</v>
      </c>
      <c r="P120">
        <v>7.9111303999999993E-2</v>
      </c>
      <c r="Q120">
        <v>0.11719277</v>
      </c>
      <c r="R120">
        <v>0.162814877</v>
      </c>
      <c r="S120">
        <v>0.162814877</v>
      </c>
    </row>
    <row r="121" spans="1:19" x14ac:dyDescent="0.25">
      <c r="A121" t="s">
        <v>5</v>
      </c>
      <c r="B121" t="s">
        <v>88</v>
      </c>
      <c r="C121" t="s">
        <v>89</v>
      </c>
      <c r="D121" t="s">
        <v>3</v>
      </c>
      <c r="E121" t="s">
        <v>280</v>
      </c>
      <c r="F121" t="s">
        <v>281</v>
      </c>
      <c r="G121" t="s">
        <v>7</v>
      </c>
      <c r="H121" t="s">
        <v>92</v>
      </c>
      <c r="J121">
        <v>50.857043779999998</v>
      </c>
      <c r="K121">
        <v>6.8430443250000001</v>
      </c>
      <c r="L121" t="s">
        <v>4</v>
      </c>
      <c r="M121">
        <v>0</v>
      </c>
      <c r="N121">
        <v>6.822102E-3</v>
      </c>
      <c r="O121">
        <v>3.9740299E-2</v>
      </c>
      <c r="P121">
        <v>9.7367758999999998E-2</v>
      </c>
      <c r="Q121">
        <v>0.14423725500000001</v>
      </c>
      <c r="R121">
        <v>0.200387541</v>
      </c>
      <c r="S121">
        <v>0.200387541</v>
      </c>
    </row>
    <row r="122" spans="1:19" x14ac:dyDescent="0.25">
      <c r="A122" t="s">
        <v>5</v>
      </c>
      <c r="B122" t="s">
        <v>88</v>
      </c>
      <c r="C122" t="s">
        <v>89</v>
      </c>
      <c r="D122" t="s">
        <v>3</v>
      </c>
      <c r="E122" t="s">
        <v>282</v>
      </c>
      <c r="F122" t="s">
        <v>283</v>
      </c>
      <c r="G122" t="s">
        <v>7</v>
      </c>
      <c r="H122" t="s">
        <v>92</v>
      </c>
      <c r="J122">
        <v>50.840744149999999</v>
      </c>
      <c r="K122">
        <v>6.3146604079999999</v>
      </c>
      <c r="L122" t="s">
        <v>4</v>
      </c>
      <c r="M122">
        <v>0</v>
      </c>
      <c r="N122">
        <v>7.6748650000000003E-3</v>
      </c>
      <c r="O122">
        <v>4.4707836000000001E-2</v>
      </c>
      <c r="P122">
        <v>0.109538729</v>
      </c>
      <c r="Q122">
        <v>0.16226691200000001</v>
      </c>
      <c r="R122">
        <v>0.22543598400000001</v>
      </c>
      <c r="S122">
        <v>0.22543598400000001</v>
      </c>
    </row>
    <row r="123" spans="1:19" x14ac:dyDescent="0.25">
      <c r="A123" t="s">
        <v>5</v>
      </c>
      <c r="B123" t="s">
        <v>88</v>
      </c>
      <c r="C123" t="s">
        <v>89</v>
      </c>
      <c r="D123" t="s">
        <v>3</v>
      </c>
      <c r="E123" t="s">
        <v>284</v>
      </c>
      <c r="F123" t="s">
        <v>285</v>
      </c>
      <c r="G123" t="s">
        <v>7</v>
      </c>
      <c r="H123" t="s">
        <v>92</v>
      </c>
      <c r="J123">
        <v>51.000084209999997</v>
      </c>
      <c r="K123">
        <v>6.9410077780000004</v>
      </c>
      <c r="L123" t="s">
        <v>4</v>
      </c>
      <c r="M123">
        <v>0</v>
      </c>
      <c r="N123">
        <v>1.6735468999999999E-2</v>
      </c>
      <c r="O123">
        <v>9.7487920000000006E-2</v>
      </c>
      <c r="P123">
        <v>0.238855283</v>
      </c>
      <c r="Q123">
        <v>0.35383201600000003</v>
      </c>
      <c r="R123">
        <v>0.49157568699999998</v>
      </c>
      <c r="S123">
        <v>0.49157568699999998</v>
      </c>
    </row>
    <row r="124" spans="1:19" x14ac:dyDescent="0.25">
      <c r="A124" t="s">
        <v>5</v>
      </c>
      <c r="B124" t="s">
        <v>88</v>
      </c>
      <c r="C124" t="s">
        <v>89</v>
      </c>
      <c r="D124" t="s">
        <v>3</v>
      </c>
      <c r="E124" t="s">
        <v>286</v>
      </c>
      <c r="F124" t="s">
        <v>287</v>
      </c>
      <c r="G124" t="s">
        <v>7</v>
      </c>
      <c r="H124" t="s">
        <v>92</v>
      </c>
      <c r="J124">
        <v>51.043500209999998</v>
      </c>
      <c r="K124">
        <v>7.0033772010000002</v>
      </c>
      <c r="L124" t="s">
        <v>4</v>
      </c>
      <c r="M124">
        <v>0</v>
      </c>
      <c r="N124">
        <v>5.9761609999999998E-3</v>
      </c>
      <c r="O124">
        <v>3.4812502000000002E-2</v>
      </c>
      <c r="P124">
        <v>8.5294156999999995E-2</v>
      </c>
      <c r="Q124">
        <v>0.126351835</v>
      </c>
      <c r="R124">
        <v>0.17553948599999999</v>
      </c>
      <c r="S124">
        <v>0.17553948599999999</v>
      </c>
    </row>
    <row r="125" spans="1:19" x14ac:dyDescent="0.25">
      <c r="A125" t="s">
        <v>5</v>
      </c>
      <c r="B125" t="s">
        <v>88</v>
      </c>
      <c r="C125" t="s">
        <v>89</v>
      </c>
      <c r="D125" t="s">
        <v>3</v>
      </c>
      <c r="E125" t="s">
        <v>288</v>
      </c>
      <c r="F125" t="s">
        <v>289</v>
      </c>
      <c r="G125" t="s">
        <v>7</v>
      </c>
      <c r="H125" t="s">
        <v>92</v>
      </c>
      <c r="J125">
        <v>51.179356550000001</v>
      </c>
      <c r="K125">
        <v>7.0718129559999996</v>
      </c>
      <c r="L125" t="s">
        <v>4</v>
      </c>
      <c r="M125">
        <v>0</v>
      </c>
      <c r="N125">
        <v>3.7308369999999999E-3</v>
      </c>
      <c r="O125">
        <v>2.1732976000000001E-2</v>
      </c>
      <c r="P125">
        <v>5.3247993E-2</v>
      </c>
      <c r="Q125">
        <v>7.8879748999999999E-2</v>
      </c>
      <c r="R125">
        <v>0.109586937</v>
      </c>
      <c r="S125">
        <v>0.109586937</v>
      </c>
    </row>
    <row r="126" spans="1:19" x14ac:dyDescent="0.25">
      <c r="A126" t="s">
        <v>5</v>
      </c>
      <c r="B126" t="s">
        <v>88</v>
      </c>
      <c r="C126" t="s">
        <v>89</v>
      </c>
      <c r="D126" t="s">
        <v>3</v>
      </c>
      <c r="E126" t="s">
        <v>148</v>
      </c>
      <c r="F126" t="s">
        <v>149</v>
      </c>
      <c r="G126" t="s">
        <v>7</v>
      </c>
      <c r="H126" t="s">
        <v>92</v>
      </c>
      <c r="J126">
        <v>51.225158819999997</v>
      </c>
      <c r="K126">
        <v>7.1421867929999996</v>
      </c>
      <c r="L126" t="s">
        <v>4</v>
      </c>
      <c r="M126">
        <v>0</v>
      </c>
      <c r="N126">
        <v>9.1778169999999996E-3</v>
      </c>
      <c r="O126">
        <v>5.3462872000000002E-2</v>
      </c>
      <c r="P126">
        <v>0.130989455</v>
      </c>
      <c r="Q126">
        <v>0.19404328100000001</v>
      </c>
      <c r="R126">
        <v>0.269582612</v>
      </c>
      <c r="S126">
        <v>0.269582612</v>
      </c>
    </row>
    <row r="127" spans="1:19" x14ac:dyDescent="0.25">
      <c r="A127" t="s">
        <v>5</v>
      </c>
      <c r="B127" t="s">
        <v>88</v>
      </c>
      <c r="C127" t="s">
        <v>89</v>
      </c>
      <c r="D127" t="s">
        <v>3</v>
      </c>
      <c r="E127" t="s">
        <v>290</v>
      </c>
      <c r="F127" t="s">
        <v>291</v>
      </c>
      <c r="G127" t="s">
        <v>7</v>
      </c>
      <c r="H127" t="s">
        <v>92</v>
      </c>
      <c r="J127">
        <v>51.225213240000002</v>
      </c>
      <c r="K127">
        <v>6.8231294729999998</v>
      </c>
      <c r="L127" t="s">
        <v>4</v>
      </c>
      <c r="M127">
        <v>0</v>
      </c>
      <c r="N127">
        <v>9.5935810000000003E-3</v>
      </c>
      <c r="O127">
        <v>5.5884795000000001E-2</v>
      </c>
      <c r="P127">
        <v>0.13692341099999999</v>
      </c>
      <c r="Q127">
        <v>0.20283364000000001</v>
      </c>
      <c r="R127">
        <v>0.28179497999999997</v>
      </c>
      <c r="S127">
        <v>0.28179497999999997</v>
      </c>
    </row>
    <row r="128" spans="1:19" x14ac:dyDescent="0.25">
      <c r="A128" t="s">
        <v>5</v>
      </c>
      <c r="B128" t="s">
        <v>88</v>
      </c>
      <c r="C128" t="s">
        <v>89</v>
      </c>
      <c r="D128" t="s">
        <v>3</v>
      </c>
      <c r="E128" t="s">
        <v>168</v>
      </c>
      <c r="F128" t="s">
        <v>292</v>
      </c>
      <c r="G128" t="s">
        <v>7</v>
      </c>
      <c r="H128" t="s">
        <v>92</v>
      </c>
      <c r="J128">
        <v>51.397204600000002</v>
      </c>
      <c r="K128">
        <v>7.6966569219999998</v>
      </c>
      <c r="L128" t="s">
        <v>4</v>
      </c>
      <c r="M128">
        <v>0</v>
      </c>
      <c r="N128">
        <v>6.2891249999999996E-3</v>
      </c>
      <c r="O128">
        <v>3.6635587999999997E-2</v>
      </c>
      <c r="P128">
        <v>8.9760903000000003E-2</v>
      </c>
      <c r="Q128">
        <v>0.13296871900000001</v>
      </c>
      <c r="R128">
        <v>0.18473226500000001</v>
      </c>
      <c r="S128">
        <v>0.18473226500000001</v>
      </c>
    </row>
    <row r="129" spans="1:19" x14ac:dyDescent="0.25">
      <c r="A129" t="s">
        <v>5</v>
      </c>
      <c r="B129" t="s">
        <v>88</v>
      </c>
      <c r="C129" t="s">
        <v>89</v>
      </c>
      <c r="D129" t="s">
        <v>3</v>
      </c>
      <c r="E129" t="s">
        <v>293</v>
      </c>
      <c r="F129" t="s">
        <v>294</v>
      </c>
      <c r="G129" t="s">
        <v>7</v>
      </c>
      <c r="H129" t="s">
        <v>92</v>
      </c>
      <c r="J129">
        <v>51.377791610000003</v>
      </c>
      <c r="K129">
        <v>7.4708468669999997</v>
      </c>
      <c r="L129" t="s">
        <v>4</v>
      </c>
      <c r="M129">
        <v>0</v>
      </c>
      <c r="N129">
        <v>3.069946E-3</v>
      </c>
      <c r="O129">
        <v>1.7883133999999998E-2</v>
      </c>
      <c r="P129">
        <v>4.3815490999999998E-2</v>
      </c>
      <c r="Q129">
        <v>6.4906765000000005E-2</v>
      </c>
      <c r="R129">
        <v>9.0174394000000005E-2</v>
      </c>
      <c r="S129">
        <v>9.0174394000000005E-2</v>
      </c>
    </row>
    <row r="130" spans="1:19" x14ac:dyDescent="0.25">
      <c r="A130" t="s">
        <v>5</v>
      </c>
      <c r="B130" t="s">
        <v>88</v>
      </c>
      <c r="C130" t="s">
        <v>89</v>
      </c>
      <c r="D130" t="s">
        <v>3</v>
      </c>
      <c r="E130" t="s">
        <v>295</v>
      </c>
      <c r="F130" t="s">
        <v>296</v>
      </c>
      <c r="G130" t="s">
        <v>7</v>
      </c>
      <c r="H130" t="s">
        <v>92</v>
      </c>
      <c r="J130">
        <v>51.378956539999997</v>
      </c>
      <c r="K130">
        <v>6.6352114750000002</v>
      </c>
      <c r="L130" t="s">
        <v>4</v>
      </c>
      <c r="M130">
        <v>0</v>
      </c>
      <c r="N130">
        <v>3.7308369999999999E-3</v>
      </c>
      <c r="O130">
        <v>2.1732976000000001E-2</v>
      </c>
      <c r="P130">
        <v>5.3247993E-2</v>
      </c>
      <c r="Q130">
        <v>7.8879748999999999E-2</v>
      </c>
      <c r="R130">
        <v>0.109586937</v>
      </c>
      <c r="S130">
        <v>0.109586937</v>
      </c>
    </row>
    <row r="131" spans="1:19" x14ac:dyDescent="0.25">
      <c r="A131" t="s">
        <v>5</v>
      </c>
      <c r="B131" t="s">
        <v>88</v>
      </c>
      <c r="C131" t="s">
        <v>89</v>
      </c>
      <c r="D131" t="s">
        <v>3</v>
      </c>
      <c r="E131" t="s">
        <v>297</v>
      </c>
      <c r="F131" t="s">
        <v>298</v>
      </c>
      <c r="G131" t="s">
        <v>7</v>
      </c>
      <c r="H131" t="s">
        <v>92</v>
      </c>
      <c r="J131">
        <v>51.680548989999998</v>
      </c>
      <c r="K131">
        <v>7.7440984549999996</v>
      </c>
      <c r="L131" t="s">
        <v>4</v>
      </c>
      <c r="M131">
        <v>0</v>
      </c>
      <c r="N131">
        <v>6.2891249999999996E-3</v>
      </c>
      <c r="O131">
        <v>3.6635587999999997E-2</v>
      </c>
      <c r="P131">
        <v>8.9760903000000003E-2</v>
      </c>
      <c r="Q131">
        <v>0.13296871900000001</v>
      </c>
      <c r="R131">
        <v>0.18473226500000001</v>
      </c>
      <c r="S131">
        <v>0.18473226500000001</v>
      </c>
    </row>
    <row r="132" spans="1:19" x14ac:dyDescent="0.25">
      <c r="A132" t="s">
        <v>5</v>
      </c>
      <c r="B132" t="s">
        <v>88</v>
      </c>
      <c r="C132" t="s">
        <v>89</v>
      </c>
      <c r="D132" t="s">
        <v>3</v>
      </c>
      <c r="E132" t="s">
        <v>299</v>
      </c>
      <c r="F132" t="s">
        <v>300</v>
      </c>
      <c r="G132" t="s">
        <v>7</v>
      </c>
      <c r="H132" t="s">
        <v>92</v>
      </c>
      <c r="J132">
        <v>51.556850369999999</v>
      </c>
      <c r="K132">
        <v>7.1675268279999997</v>
      </c>
      <c r="L132" t="s">
        <v>4</v>
      </c>
      <c r="M132">
        <v>0</v>
      </c>
      <c r="N132">
        <v>1.2791441000000001E-2</v>
      </c>
      <c r="O132">
        <v>7.4513060000000006E-2</v>
      </c>
      <c r="P132">
        <v>0.18256454799999999</v>
      </c>
      <c r="Q132">
        <v>0.27044485299999999</v>
      </c>
      <c r="R132">
        <v>0.37572664</v>
      </c>
      <c r="S132">
        <v>0.37572664</v>
      </c>
    </row>
    <row r="133" spans="1:19" x14ac:dyDescent="0.25">
      <c r="A133" t="s">
        <v>5</v>
      </c>
      <c r="B133" t="s">
        <v>88</v>
      </c>
      <c r="C133" t="s">
        <v>89</v>
      </c>
      <c r="D133" t="s">
        <v>3</v>
      </c>
      <c r="E133" t="s">
        <v>301</v>
      </c>
      <c r="F133" t="s">
        <v>302</v>
      </c>
      <c r="G133" t="s">
        <v>7</v>
      </c>
      <c r="H133" t="s">
        <v>92</v>
      </c>
      <c r="J133">
        <v>51.51560233</v>
      </c>
      <c r="K133">
        <v>6.9939033989999997</v>
      </c>
      <c r="L133" t="s">
        <v>4</v>
      </c>
      <c r="M133">
        <v>0</v>
      </c>
      <c r="N133">
        <v>1.5882706999999999E-2</v>
      </c>
      <c r="O133">
        <v>9.2520382999999998E-2</v>
      </c>
      <c r="P133">
        <v>0.226684314</v>
      </c>
      <c r="Q133">
        <v>0.33580235899999999</v>
      </c>
      <c r="R133">
        <v>0.46652724499999998</v>
      </c>
      <c r="S133">
        <v>0.46652724499999998</v>
      </c>
    </row>
    <row r="134" spans="1:19" x14ac:dyDescent="0.25">
      <c r="A134" t="s">
        <v>5</v>
      </c>
      <c r="B134" t="s">
        <v>88</v>
      </c>
      <c r="C134" t="s">
        <v>89</v>
      </c>
      <c r="D134" t="s">
        <v>3</v>
      </c>
      <c r="E134" t="s">
        <v>303</v>
      </c>
      <c r="F134" t="s">
        <v>304</v>
      </c>
      <c r="G134" t="s">
        <v>7</v>
      </c>
      <c r="H134" t="s">
        <v>92</v>
      </c>
      <c r="J134">
        <v>51.485149309999997</v>
      </c>
      <c r="K134">
        <v>6.8342344500000003</v>
      </c>
      <c r="L134" t="s">
        <v>4</v>
      </c>
      <c r="M134">
        <v>0</v>
      </c>
      <c r="N134">
        <v>1.4923347999999999E-2</v>
      </c>
      <c r="O134">
        <v>8.6931904000000004E-2</v>
      </c>
      <c r="P134">
        <v>0.212991972</v>
      </c>
      <c r="Q134">
        <v>0.31551899500000002</v>
      </c>
      <c r="R134">
        <v>0.43834774700000001</v>
      </c>
      <c r="S134">
        <v>0.43834774700000001</v>
      </c>
    </row>
    <row r="135" spans="1:19" x14ac:dyDescent="0.25">
      <c r="A135" t="s">
        <v>5</v>
      </c>
      <c r="B135" t="s">
        <v>88</v>
      </c>
      <c r="C135" t="s">
        <v>89</v>
      </c>
      <c r="D135" t="s">
        <v>3</v>
      </c>
      <c r="E135" t="s">
        <v>305</v>
      </c>
      <c r="F135" t="s">
        <v>306</v>
      </c>
      <c r="G135" t="s">
        <v>7</v>
      </c>
      <c r="H135" t="s">
        <v>92</v>
      </c>
      <c r="J135">
        <v>51.52172161</v>
      </c>
      <c r="K135">
        <v>6.5743393960000001</v>
      </c>
      <c r="L135" t="s">
        <v>4</v>
      </c>
      <c r="M135">
        <v>0</v>
      </c>
      <c r="N135">
        <v>5.7561490000000003E-3</v>
      </c>
      <c r="O135">
        <v>3.3530877000000001E-2</v>
      </c>
      <c r="P135">
        <v>8.2154046999999994E-2</v>
      </c>
      <c r="Q135">
        <v>0.121700184</v>
      </c>
      <c r="R135">
        <v>0.16907698800000001</v>
      </c>
      <c r="S135">
        <v>0.16907698800000001</v>
      </c>
    </row>
    <row r="136" spans="1:19" x14ac:dyDescent="0.25">
      <c r="A136" t="s">
        <v>5</v>
      </c>
      <c r="B136" t="s">
        <v>88</v>
      </c>
      <c r="C136" t="s">
        <v>89</v>
      </c>
      <c r="D136" t="s">
        <v>3</v>
      </c>
      <c r="E136" t="s">
        <v>307</v>
      </c>
      <c r="F136" t="s">
        <v>308</v>
      </c>
      <c r="G136" t="s">
        <v>7</v>
      </c>
      <c r="H136" t="s">
        <v>92</v>
      </c>
      <c r="J136">
        <v>52.042676559999997</v>
      </c>
      <c r="K136">
        <v>8.607725426</v>
      </c>
      <c r="L136" t="s">
        <v>4</v>
      </c>
      <c r="M136">
        <v>0</v>
      </c>
      <c r="N136">
        <v>8.5276280000000006E-3</v>
      </c>
      <c r="O136">
        <v>4.9675373000000002E-2</v>
      </c>
      <c r="P136">
        <v>0.121709699</v>
      </c>
      <c r="Q136">
        <v>0.18029656899999999</v>
      </c>
      <c r="R136">
        <v>0.25048442700000001</v>
      </c>
      <c r="S136">
        <v>0.25048442700000001</v>
      </c>
    </row>
    <row r="137" spans="1:19" x14ac:dyDescent="0.25">
      <c r="A137" t="s">
        <v>5</v>
      </c>
      <c r="B137" t="s">
        <v>88</v>
      </c>
      <c r="C137" t="s">
        <v>89</v>
      </c>
      <c r="D137" t="s">
        <v>3</v>
      </c>
      <c r="E137" t="s">
        <v>309</v>
      </c>
      <c r="F137" t="s">
        <v>310</v>
      </c>
      <c r="G137" t="s">
        <v>7</v>
      </c>
      <c r="H137" t="s">
        <v>92</v>
      </c>
      <c r="J137">
        <v>52.300836689999997</v>
      </c>
      <c r="K137">
        <v>8.9493251590000007</v>
      </c>
      <c r="L137" t="s">
        <v>4</v>
      </c>
      <c r="M137">
        <v>0</v>
      </c>
      <c r="N137">
        <v>8.5276280000000006E-3</v>
      </c>
      <c r="O137">
        <v>4.9675373000000002E-2</v>
      </c>
      <c r="P137">
        <v>0.121709699</v>
      </c>
      <c r="Q137">
        <v>0.18029656899999999</v>
      </c>
      <c r="R137">
        <v>0.25048442700000001</v>
      </c>
      <c r="S137">
        <v>0.25048442700000001</v>
      </c>
    </row>
    <row r="138" spans="1:19" x14ac:dyDescent="0.25">
      <c r="A138" t="s">
        <v>5</v>
      </c>
      <c r="B138" t="s">
        <v>88</v>
      </c>
      <c r="C138" t="s">
        <v>89</v>
      </c>
      <c r="D138" t="s">
        <v>3</v>
      </c>
      <c r="E138" t="s">
        <v>170</v>
      </c>
      <c r="F138" t="s">
        <v>171</v>
      </c>
      <c r="G138" t="s">
        <v>7</v>
      </c>
      <c r="H138" t="s">
        <v>92</v>
      </c>
      <c r="J138">
        <v>52.098190780000003</v>
      </c>
      <c r="K138">
        <v>9.3862909299999995</v>
      </c>
      <c r="L138" t="s">
        <v>4</v>
      </c>
      <c r="M138">
        <v>0</v>
      </c>
      <c r="N138">
        <v>7.4616739999999997E-3</v>
      </c>
      <c r="O138">
        <v>4.3465952000000002E-2</v>
      </c>
      <c r="P138">
        <v>0.106495986</v>
      </c>
      <c r="Q138">
        <v>0.157759498</v>
      </c>
      <c r="R138">
        <v>0.21917387299999999</v>
      </c>
      <c r="S138">
        <v>0.21917387299999999</v>
      </c>
    </row>
    <row r="139" spans="1:19" x14ac:dyDescent="0.25">
      <c r="A139" t="s">
        <v>5</v>
      </c>
      <c r="B139" t="s">
        <v>88</v>
      </c>
      <c r="C139" t="s">
        <v>89</v>
      </c>
      <c r="D139" t="s">
        <v>3</v>
      </c>
      <c r="E139" t="s">
        <v>103</v>
      </c>
      <c r="F139" t="s">
        <v>104</v>
      </c>
      <c r="G139" t="s">
        <v>7</v>
      </c>
      <c r="H139" t="s">
        <v>92</v>
      </c>
      <c r="J139">
        <v>52.411837230000003</v>
      </c>
      <c r="K139">
        <v>9.8534918190000003</v>
      </c>
      <c r="L139" t="s">
        <v>4</v>
      </c>
      <c r="M139">
        <v>0</v>
      </c>
      <c r="N139">
        <v>6.395721E-3</v>
      </c>
      <c r="O139">
        <v>3.7256530000000003E-2</v>
      </c>
      <c r="P139">
        <v>9.1282273999999997E-2</v>
      </c>
      <c r="Q139">
        <v>0.13522242700000001</v>
      </c>
      <c r="R139">
        <v>0.18786332</v>
      </c>
      <c r="S139">
        <v>0.18786332</v>
      </c>
    </row>
    <row r="140" spans="1:19" x14ac:dyDescent="0.25">
      <c r="A140" t="s">
        <v>5</v>
      </c>
      <c r="B140" t="s">
        <v>88</v>
      </c>
      <c r="C140" t="s">
        <v>89</v>
      </c>
      <c r="D140" t="s">
        <v>3</v>
      </c>
      <c r="E140" t="s">
        <v>311</v>
      </c>
      <c r="F140" t="s">
        <v>312</v>
      </c>
      <c r="G140" t="s">
        <v>7</v>
      </c>
      <c r="H140" t="s">
        <v>92</v>
      </c>
      <c r="J140">
        <v>52.223607170000001</v>
      </c>
      <c r="K140">
        <v>11.00983684</v>
      </c>
      <c r="L140" t="s">
        <v>4</v>
      </c>
      <c r="M140">
        <v>0</v>
      </c>
      <c r="N140">
        <v>1.1192511E-2</v>
      </c>
      <c r="O140">
        <v>6.5198928000000003E-2</v>
      </c>
      <c r="P140">
        <v>0.15974397900000001</v>
      </c>
      <c r="Q140">
        <v>0.236639246</v>
      </c>
      <c r="R140">
        <v>0.32876081000000001</v>
      </c>
      <c r="S140">
        <v>0.32876081000000001</v>
      </c>
    </row>
    <row r="141" spans="1:19" x14ac:dyDescent="0.25">
      <c r="A141" t="s">
        <v>5</v>
      </c>
      <c r="B141" t="s">
        <v>88</v>
      </c>
      <c r="C141" t="s">
        <v>89</v>
      </c>
      <c r="D141" t="s">
        <v>3</v>
      </c>
      <c r="E141" t="s">
        <v>313</v>
      </c>
      <c r="F141" t="s">
        <v>314</v>
      </c>
      <c r="G141" t="s">
        <v>7</v>
      </c>
      <c r="H141" t="s">
        <v>92</v>
      </c>
      <c r="J141">
        <v>51.315518419999997</v>
      </c>
      <c r="K141">
        <v>9.5285438229999997</v>
      </c>
      <c r="L141" t="s">
        <v>4</v>
      </c>
      <c r="M141">
        <v>0</v>
      </c>
      <c r="N141">
        <v>5.4576820000000002E-3</v>
      </c>
      <c r="O141">
        <v>3.1792239E-2</v>
      </c>
      <c r="P141">
        <v>7.7894206999999993E-2</v>
      </c>
      <c r="Q141">
        <v>0.115389804</v>
      </c>
      <c r="R141">
        <v>0.16031003299999999</v>
      </c>
      <c r="S141">
        <v>0.16031003299999999</v>
      </c>
    </row>
    <row r="142" spans="1:19" x14ac:dyDescent="0.25">
      <c r="A142" t="s">
        <v>5</v>
      </c>
      <c r="B142" t="s">
        <v>88</v>
      </c>
      <c r="C142" t="s">
        <v>89</v>
      </c>
      <c r="D142" t="s">
        <v>3</v>
      </c>
      <c r="E142" t="s">
        <v>184</v>
      </c>
      <c r="F142" t="s">
        <v>315</v>
      </c>
      <c r="G142" t="s">
        <v>7</v>
      </c>
      <c r="H142" t="s">
        <v>92</v>
      </c>
      <c r="J142">
        <v>51.318295470000002</v>
      </c>
      <c r="K142">
        <v>9.8488889969999995</v>
      </c>
      <c r="L142" t="s">
        <v>4</v>
      </c>
      <c r="M142">
        <v>0</v>
      </c>
      <c r="N142">
        <v>7.0352929999999998E-3</v>
      </c>
      <c r="O142">
        <v>4.0982182999999998E-2</v>
      </c>
      <c r="P142">
        <v>0.100410501</v>
      </c>
      <c r="Q142">
        <v>0.148744669</v>
      </c>
      <c r="R142">
        <v>0.20664965199999999</v>
      </c>
      <c r="S142">
        <v>0.20664965199999999</v>
      </c>
    </row>
    <row r="143" spans="1:19" x14ac:dyDescent="0.25">
      <c r="A143" t="s">
        <v>5</v>
      </c>
      <c r="B143" t="s">
        <v>88</v>
      </c>
      <c r="C143" t="s">
        <v>89</v>
      </c>
      <c r="D143" t="s">
        <v>3</v>
      </c>
      <c r="E143" t="s">
        <v>316</v>
      </c>
      <c r="F143" t="s">
        <v>317</v>
      </c>
      <c r="G143" t="s">
        <v>7</v>
      </c>
      <c r="H143" t="s">
        <v>92</v>
      </c>
      <c r="J143">
        <v>52.185109670000003</v>
      </c>
      <c r="K143">
        <v>11.677096819999999</v>
      </c>
      <c r="L143" t="s">
        <v>4</v>
      </c>
      <c r="M143">
        <v>0</v>
      </c>
      <c r="N143">
        <v>1.3857395E-2</v>
      </c>
      <c r="O143">
        <v>8.0722481999999998E-2</v>
      </c>
      <c r="P143">
        <v>0.19777826000000001</v>
      </c>
      <c r="Q143">
        <v>0.292981924</v>
      </c>
      <c r="R143">
        <v>0.40703719300000002</v>
      </c>
      <c r="S143">
        <v>0.40703719300000002</v>
      </c>
    </row>
    <row r="144" spans="1:19" x14ac:dyDescent="0.25">
      <c r="A144" t="s">
        <v>5</v>
      </c>
      <c r="B144" t="s">
        <v>88</v>
      </c>
      <c r="C144" t="s">
        <v>89</v>
      </c>
      <c r="D144" t="s">
        <v>3</v>
      </c>
      <c r="E144" t="s">
        <v>133</v>
      </c>
      <c r="F144" t="s">
        <v>134</v>
      </c>
      <c r="G144" t="s">
        <v>7</v>
      </c>
      <c r="H144" t="s">
        <v>92</v>
      </c>
      <c r="J144">
        <v>51.866047850000001</v>
      </c>
      <c r="K144">
        <v>11.57611764</v>
      </c>
      <c r="L144" t="s">
        <v>4</v>
      </c>
      <c r="M144">
        <v>0</v>
      </c>
      <c r="N144">
        <v>8.1012459999999994E-3</v>
      </c>
      <c r="O144">
        <v>4.7191604999999998E-2</v>
      </c>
      <c r="P144">
        <v>0.115624214</v>
      </c>
      <c r="Q144">
        <v>0.17128173999999999</v>
      </c>
      <c r="R144">
        <v>0.23796020500000001</v>
      </c>
      <c r="S144">
        <v>0.23796020500000001</v>
      </c>
    </row>
    <row r="145" spans="1:19" x14ac:dyDescent="0.25">
      <c r="A145" t="s">
        <v>5</v>
      </c>
      <c r="B145" t="s">
        <v>88</v>
      </c>
      <c r="C145" t="s">
        <v>89</v>
      </c>
      <c r="D145" t="s">
        <v>3</v>
      </c>
      <c r="E145" t="s">
        <v>133</v>
      </c>
      <c r="F145" t="s">
        <v>134</v>
      </c>
      <c r="G145" t="s">
        <v>7</v>
      </c>
      <c r="H145" t="s">
        <v>92</v>
      </c>
      <c r="J145">
        <v>51.801934289999998</v>
      </c>
      <c r="K145">
        <v>11.7580533</v>
      </c>
      <c r="L145" t="s">
        <v>4</v>
      </c>
      <c r="M145">
        <v>0</v>
      </c>
      <c r="N145">
        <v>1.0233153E-2</v>
      </c>
      <c r="O145">
        <v>5.9610448000000003E-2</v>
      </c>
      <c r="P145">
        <v>0.14605163800000001</v>
      </c>
      <c r="Q145">
        <v>0.216355882</v>
      </c>
      <c r="R145">
        <v>0.30058131199999999</v>
      </c>
      <c r="S145">
        <v>0.30058131199999999</v>
      </c>
    </row>
    <row r="146" spans="1:19" x14ac:dyDescent="0.25">
      <c r="A146" t="s">
        <v>5</v>
      </c>
      <c r="B146" t="s">
        <v>88</v>
      </c>
      <c r="C146" t="s">
        <v>89</v>
      </c>
      <c r="D146" t="s">
        <v>3</v>
      </c>
      <c r="E146" t="s">
        <v>318</v>
      </c>
      <c r="F146" t="s">
        <v>319</v>
      </c>
      <c r="G146" t="s">
        <v>7</v>
      </c>
      <c r="H146" t="s">
        <v>92</v>
      </c>
      <c r="J146">
        <v>51.461989629999998</v>
      </c>
      <c r="K146">
        <v>11.7182531</v>
      </c>
      <c r="L146" t="s">
        <v>4</v>
      </c>
      <c r="M146">
        <v>0</v>
      </c>
      <c r="N146">
        <v>2.5582880000000001E-3</v>
      </c>
      <c r="O146">
        <v>1.4902612000000001E-2</v>
      </c>
      <c r="P146">
        <v>3.6512910000000003E-2</v>
      </c>
      <c r="Q146">
        <v>5.4088971E-2</v>
      </c>
      <c r="R146">
        <v>7.5145327999999997E-2</v>
      </c>
      <c r="S146">
        <v>7.5145327999999997E-2</v>
      </c>
    </row>
    <row r="147" spans="1:19" x14ac:dyDescent="0.25">
      <c r="A147" t="s">
        <v>5</v>
      </c>
      <c r="B147" t="s">
        <v>88</v>
      </c>
      <c r="C147" t="s">
        <v>89</v>
      </c>
      <c r="D147" t="s">
        <v>3</v>
      </c>
      <c r="E147" t="s">
        <v>320</v>
      </c>
      <c r="F147" t="s">
        <v>321</v>
      </c>
      <c r="G147" t="s">
        <v>7</v>
      </c>
      <c r="H147" t="s">
        <v>92</v>
      </c>
      <c r="J147">
        <v>51.629952979999999</v>
      </c>
      <c r="K147">
        <v>12.288818210000001</v>
      </c>
      <c r="L147" t="s">
        <v>4</v>
      </c>
      <c r="M147">
        <v>0</v>
      </c>
      <c r="N147">
        <v>2.7714789999999999E-3</v>
      </c>
      <c r="O147">
        <v>1.6144496000000001E-2</v>
      </c>
      <c r="P147">
        <v>3.9555651999999997E-2</v>
      </c>
      <c r="Q147">
        <v>5.8596385000000001E-2</v>
      </c>
      <c r="R147">
        <v>8.1407438999999998E-2</v>
      </c>
      <c r="S147">
        <v>8.1407438999999998E-2</v>
      </c>
    </row>
    <row r="148" spans="1:19" x14ac:dyDescent="0.25">
      <c r="A148" t="s">
        <v>5</v>
      </c>
      <c r="B148" t="s">
        <v>88</v>
      </c>
      <c r="C148" t="s">
        <v>89</v>
      </c>
      <c r="D148" t="s">
        <v>3</v>
      </c>
      <c r="E148" t="s">
        <v>320</v>
      </c>
      <c r="F148" t="s">
        <v>321</v>
      </c>
      <c r="G148" t="s">
        <v>7</v>
      </c>
      <c r="H148" t="s">
        <v>92</v>
      </c>
      <c r="J148">
        <v>51.636746700000003</v>
      </c>
      <c r="K148">
        <v>12.227384430000001</v>
      </c>
      <c r="L148" t="s">
        <v>4</v>
      </c>
      <c r="M148">
        <v>0</v>
      </c>
      <c r="N148">
        <v>6.3976179999999999E-3</v>
      </c>
      <c r="O148">
        <v>3.7267583999999999E-2</v>
      </c>
      <c r="P148">
        <v>9.1309357999999993E-2</v>
      </c>
      <c r="Q148">
        <v>0.13526254700000001</v>
      </c>
      <c r="R148">
        <v>0.18791906</v>
      </c>
      <c r="S148">
        <v>0.18791906</v>
      </c>
    </row>
    <row r="149" spans="1:19" x14ac:dyDescent="0.25">
      <c r="A149" t="s">
        <v>5</v>
      </c>
      <c r="B149" t="s">
        <v>88</v>
      </c>
      <c r="C149" t="s">
        <v>89</v>
      </c>
      <c r="D149" t="s">
        <v>3</v>
      </c>
      <c r="E149" t="s">
        <v>322</v>
      </c>
      <c r="F149" t="s">
        <v>323</v>
      </c>
      <c r="G149" t="s">
        <v>7</v>
      </c>
      <c r="H149" t="s">
        <v>92</v>
      </c>
      <c r="J149">
        <v>51.325433420000003</v>
      </c>
      <c r="K149">
        <v>11.99531919</v>
      </c>
      <c r="L149" t="s">
        <v>4</v>
      </c>
      <c r="M149">
        <v>0</v>
      </c>
      <c r="N149">
        <v>8.1012459999999994E-3</v>
      </c>
      <c r="O149">
        <v>4.7191604999999998E-2</v>
      </c>
      <c r="P149">
        <v>0.115624214</v>
      </c>
      <c r="Q149">
        <v>0.17128173999999999</v>
      </c>
      <c r="R149">
        <v>0.23796020500000001</v>
      </c>
      <c r="S149">
        <v>0.23796020500000001</v>
      </c>
    </row>
    <row r="150" spans="1:19" x14ac:dyDescent="0.25">
      <c r="A150" t="s">
        <v>5</v>
      </c>
      <c r="B150" t="s">
        <v>88</v>
      </c>
      <c r="C150" t="s">
        <v>89</v>
      </c>
      <c r="D150" t="s">
        <v>3</v>
      </c>
      <c r="E150" t="s">
        <v>135</v>
      </c>
      <c r="F150" t="s">
        <v>136</v>
      </c>
      <c r="G150" t="s">
        <v>7</v>
      </c>
      <c r="H150" t="s">
        <v>92</v>
      </c>
      <c r="J150">
        <v>51.181517220000003</v>
      </c>
      <c r="K150">
        <v>12.01915262</v>
      </c>
      <c r="L150" t="s">
        <v>4</v>
      </c>
      <c r="M150">
        <v>0</v>
      </c>
      <c r="N150">
        <v>7.2058449999999998E-3</v>
      </c>
      <c r="O150">
        <v>4.1975691000000002E-2</v>
      </c>
      <c r="P150">
        <v>0.102844695</v>
      </c>
      <c r="Q150">
        <v>0.152350601</v>
      </c>
      <c r="R150">
        <v>0.21165934</v>
      </c>
      <c r="S150">
        <v>0.21165934</v>
      </c>
    </row>
    <row r="151" spans="1:19" x14ac:dyDescent="0.25">
      <c r="A151" t="s">
        <v>5</v>
      </c>
      <c r="B151" t="s">
        <v>88</v>
      </c>
      <c r="C151" t="s">
        <v>89</v>
      </c>
      <c r="D151" t="s">
        <v>3</v>
      </c>
      <c r="E151" t="s">
        <v>324</v>
      </c>
      <c r="F151" t="s">
        <v>325</v>
      </c>
      <c r="G151" t="s">
        <v>7</v>
      </c>
      <c r="H151" t="s">
        <v>92</v>
      </c>
      <c r="J151">
        <v>52.527303930000002</v>
      </c>
      <c r="K151">
        <v>12.35972664</v>
      </c>
      <c r="L151" t="s">
        <v>4</v>
      </c>
      <c r="M151">
        <v>0</v>
      </c>
      <c r="N151">
        <v>6.8434209999999997E-3</v>
      </c>
      <c r="O151">
        <v>3.9864486999999997E-2</v>
      </c>
      <c r="P151">
        <v>9.7672033000000005E-2</v>
      </c>
      <c r="Q151">
        <v>0.14468799600000001</v>
      </c>
      <c r="R151">
        <v>0.20101375199999999</v>
      </c>
      <c r="S151">
        <v>0.20101375199999999</v>
      </c>
    </row>
    <row r="152" spans="1:19" x14ac:dyDescent="0.25">
      <c r="A152" t="s">
        <v>5</v>
      </c>
      <c r="B152" t="s">
        <v>88</v>
      </c>
      <c r="C152" t="s">
        <v>89</v>
      </c>
      <c r="D152" t="s">
        <v>3</v>
      </c>
      <c r="E152" t="s">
        <v>326</v>
      </c>
      <c r="F152" t="s">
        <v>327</v>
      </c>
      <c r="G152" t="s">
        <v>7</v>
      </c>
      <c r="H152" t="s">
        <v>92</v>
      </c>
      <c r="J152">
        <v>52.530336679999998</v>
      </c>
      <c r="K152">
        <v>13.23929775</v>
      </c>
      <c r="L152" t="s">
        <v>4</v>
      </c>
      <c r="M152">
        <v>0</v>
      </c>
      <c r="N152">
        <v>1.1459810000000001E-2</v>
      </c>
      <c r="O152">
        <v>6.6756001999999995E-2</v>
      </c>
      <c r="P152">
        <v>0.16355897</v>
      </c>
      <c r="Q152">
        <v>0.242290642</v>
      </c>
      <c r="R152">
        <v>0.336612244</v>
      </c>
      <c r="S152">
        <v>0.336612244</v>
      </c>
    </row>
    <row r="153" spans="1:19" x14ac:dyDescent="0.25">
      <c r="A153" t="s">
        <v>5</v>
      </c>
      <c r="B153" t="s">
        <v>88</v>
      </c>
      <c r="C153" t="s">
        <v>89</v>
      </c>
      <c r="D153" t="s">
        <v>3</v>
      </c>
      <c r="E153" t="s">
        <v>131</v>
      </c>
      <c r="F153" t="s">
        <v>328</v>
      </c>
      <c r="G153" t="s">
        <v>7</v>
      </c>
      <c r="H153" t="s">
        <v>92</v>
      </c>
      <c r="J153">
        <v>52.490157070000002</v>
      </c>
      <c r="K153">
        <v>13.830480590000001</v>
      </c>
      <c r="L153" t="s">
        <v>4</v>
      </c>
      <c r="M153">
        <v>0</v>
      </c>
      <c r="N153">
        <v>5.2231719999999999E-3</v>
      </c>
      <c r="O153">
        <v>3.0426166000000001E-2</v>
      </c>
      <c r="P153">
        <v>7.4547189999999999E-2</v>
      </c>
      <c r="Q153">
        <v>0.11043164799999999</v>
      </c>
      <c r="R153">
        <v>0.15342171099999999</v>
      </c>
      <c r="S153">
        <v>0.15342171099999999</v>
      </c>
    </row>
    <row r="154" spans="1:19" x14ac:dyDescent="0.25">
      <c r="A154" t="s">
        <v>5</v>
      </c>
      <c r="B154" t="s">
        <v>88</v>
      </c>
      <c r="C154" t="s">
        <v>89</v>
      </c>
      <c r="D154" t="s">
        <v>3</v>
      </c>
      <c r="E154" t="s">
        <v>196</v>
      </c>
      <c r="F154" t="s">
        <v>197</v>
      </c>
      <c r="G154" t="s">
        <v>7</v>
      </c>
      <c r="H154" t="s">
        <v>92</v>
      </c>
      <c r="J154">
        <v>52.173520459999999</v>
      </c>
      <c r="K154">
        <v>14.640119070000001</v>
      </c>
      <c r="L154" t="s">
        <v>4</v>
      </c>
      <c r="M154">
        <v>0</v>
      </c>
      <c r="N154">
        <v>1.1213829999999999E-2</v>
      </c>
      <c r="O154">
        <v>6.5323116000000001E-2</v>
      </c>
      <c r="P154">
        <v>0.160048254</v>
      </c>
      <c r="Q154">
        <v>0.237089988</v>
      </c>
      <c r="R154">
        <v>0.329387021</v>
      </c>
      <c r="S154">
        <v>0.329387021</v>
      </c>
    </row>
    <row r="155" spans="1:19" x14ac:dyDescent="0.25">
      <c r="A155" t="s">
        <v>5</v>
      </c>
      <c r="B155" t="s">
        <v>88</v>
      </c>
      <c r="C155" t="s">
        <v>89</v>
      </c>
      <c r="D155" t="s">
        <v>3</v>
      </c>
      <c r="E155" t="s">
        <v>329</v>
      </c>
      <c r="F155" t="s">
        <v>330</v>
      </c>
      <c r="G155" t="s">
        <v>7</v>
      </c>
      <c r="H155" t="s">
        <v>92</v>
      </c>
      <c r="J155">
        <v>51.58175336</v>
      </c>
      <c r="K155">
        <v>13.977769090000001</v>
      </c>
      <c r="L155" t="s">
        <v>4</v>
      </c>
      <c r="M155">
        <v>0</v>
      </c>
      <c r="N155">
        <v>6.2358279999999997E-3</v>
      </c>
      <c r="O155">
        <v>3.6325116999999997E-2</v>
      </c>
      <c r="P155">
        <v>8.9000217000000006E-2</v>
      </c>
      <c r="Q155">
        <v>0.131841866</v>
      </c>
      <c r="R155">
        <v>0.183166737</v>
      </c>
      <c r="S155">
        <v>0.183166737</v>
      </c>
    </row>
    <row r="156" spans="1:19" x14ac:dyDescent="0.25">
      <c r="A156" t="s">
        <v>5</v>
      </c>
      <c r="B156" t="s">
        <v>88</v>
      </c>
      <c r="C156" t="s">
        <v>89</v>
      </c>
      <c r="D156" t="s">
        <v>3</v>
      </c>
      <c r="E156" t="s">
        <v>331</v>
      </c>
      <c r="F156" t="s">
        <v>332</v>
      </c>
      <c r="G156" t="s">
        <v>7</v>
      </c>
      <c r="H156" t="s">
        <v>92</v>
      </c>
      <c r="J156">
        <v>51.528581410000001</v>
      </c>
      <c r="K156">
        <v>14.365483770000001</v>
      </c>
      <c r="L156" t="s">
        <v>4</v>
      </c>
      <c r="M156">
        <v>0</v>
      </c>
      <c r="N156">
        <v>7.4702019999999996E-3</v>
      </c>
      <c r="O156">
        <v>4.3515627000000001E-2</v>
      </c>
      <c r="P156">
        <v>0.106617696</v>
      </c>
      <c r="Q156">
        <v>0.15793979399999999</v>
      </c>
      <c r="R156">
        <v>0.21942435800000001</v>
      </c>
      <c r="S156">
        <v>0.21942435800000001</v>
      </c>
    </row>
    <row r="157" spans="1:19" x14ac:dyDescent="0.25">
      <c r="A157" t="s">
        <v>5</v>
      </c>
      <c r="B157" t="s">
        <v>88</v>
      </c>
      <c r="C157" t="s">
        <v>89</v>
      </c>
      <c r="D157" t="s">
        <v>3</v>
      </c>
      <c r="E157" t="s">
        <v>333</v>
      </c>
      <c r="F157" t="s">
        <v>334</v>
      </c>
      <c r="G157" t="s">
        <v>7</v>
      </c>
      <c r="H157" t="s">
        <v>92</v>
      </c>
      <c r="J157">
        <v>51.450966469999997</v>
      </c>
      <c r="K157">
        <v>14.11152613</v>
      </c>
      <c r="L157" t="s">
        <v>4</v>
      </c>
      <c r="M157">
        <v>0</v>
      </c>
      <c r="N157">
        <v>4.7967909999999999E-3</v>
      </c>
      <c r="O157">
        <v>2.7942398E-2</v>
      </c>
      <c r="P157">
        <v>6.8461704999999998E-2</v>
      </c>
      <c r="Q157">
        <v>0.10141682</v>
      </c>
      <c r="R157">
        <v>0.14089748999999999</v>
      </c>
      <c r="S157">
        <v>0.14089748999999999</v>
      </c>
    </row>
    <row r="158" spans="1:19" x14ac:dyDescent="0.25">
      <c r="A158" t="s">
        <v>5</v>
      </c>
      <c r="B158" t="s">
        <v>88</v>
      </c>
      <c r="C158" t="s">
        <v>89</v>
      </c>
      <c r="D158" t="s">
        <v>3</v>
      </c>
      <c r="E158" t="s">
        <v>335</v>
      </c>
      <c r="F158" t="s">
        <v>336</v>
      </c>
      <c r="G158" t="s">
        <v>7</v>
      </c>
      <c r="H158" t="s">
        <v>92</v>
      </c>
      <c r="J158">
        <v>53.082755249999998</v>
      </c>
      <c r="K158">
        <v>14.322349559999999</v>
      </c>
      <c r="L158" t="s">
        <v>4</v>
      </c>
      <c r="M158">
        <v>0</v>
      </c>
      <c r="N158">
        <v>9.4267810000000004E-3</v>
      </c>
      <c r="O158">
        <v>5.4913144999999997E-2</v>
      </c>
      <c r="P158">
        <v>0.13454276900000001</v>
      </c>
      <c r="Q158">
        <v>0.19930703899999999</v>
      </c>
      <c r="R158">
        <v>0.27689550499999999</v>
      </c>
      <c r="S158">
        <v>0.27689550499999999</v>
      </c>
    </row>
    <row r="159" spans="1:19" x14ac:dyDescent="0.25">
      <c r="A159" t="s">
        <v>5</v>
      </c>
      <c r="B159" t="s">
        <v>88</v>
      </c>
      <c r="C159" t="s">
        <v>89</v>
      </c>
      <c r="D159" t="s">
        <v>3</v>
      </c>
      <c r="E159" t="s">
        <v>337</v>
      </c>
      <c r="F159" t="s">
        <v>338</v>
      </c>
      <c r="G159" t="s">
        <v>7</v>
      </c>
      <c r="H159" t="s">
        <v>92</v>
      </c>
      <c r="J159">
        <v>53.707019979999998</v>
      </c>
      <c r="K159">
        <v>12.909720119999999</v>
      </c>
      <c r="L159" t="s">
        <v>4</v>
      </c>
      <c r="M159">
        <v>0</v>
      </c>
      <c r="N159">
        <v>2.7714789999999999E-3</v>
      </c>
      <c r="O159">
        <v>1.6144496000000001E-2</v>
      </c>
      <c r="P159">
        <v>3.9555651999999997E-2</v>
      </c>
      <c r="Q159">
        <v>5.8596385000000001E-2</v>
      </c>
      <c r="R159">
        <v>8.1407438999999998E-2</v>
      </c>
      <c r="S159">
        <v>8.1407438999999998E-2</v>
      </c>
    </row>
    <row r="160" spans="1:19" x14ac:dyDescent="0.25">
      <c r="A160" t="s">
        <v>5</v>
      </c>
      <c r="B160" t="s">
        <v>88</v>
      </c>
      <c r="C160" t="s">
        <v>89</v>
      </c>
      <c r="D160" t="s">
        <v>3</v>
      </c>
      <c r="E160" t="s">
        <v>339</v>
      </c>
      <c r="F160" t="s">
        <v>340</v>
      </c>
      <c r="G160" t="s">
        <v>7</v>
      </c>
      <c r="H160" t="s">
        <v>92</v>
      </c>
      <c r="J160">
        <v>54.144674190000003</v>
      </c>
      <c r="K160">
        <v>12.14359705</v>
      </c>
      <c r="L160" t="s">
        <v>4</v>
      </c>
      <c r="M160">
        <v>0</v>
      </c>
      <c r="N160">
        <v>4.903386E-3</v>
      </c>
      <c r="O160">
        <v>2.856334E-2</v>
      </c>
      <c r="P160">
        <v>6.9983077000000005E-2</v>
      </c>
      <c r="Q160">
        <v>0.103670527</v>
      </c>
      <c r="R160">
        <v>0.14402854500000001</v>
      </c>
      <c r="S160">
        <v>0.14402854500000001</v>
      </c>
    </row>
    <row r="161" spans="1:19" x14ac:dyDescent="0.25">
      <c r="A161" t="s">
        <v>5</v>
      </c>
      <c r="B161" t="s">
        <v>88</v>
      </c>
      <c r="C161" t="s">
        <v>89</v>
      </c>
      <c r="D161" t="s">
        <v>3</v>
      </c>
      <c r="E161" t="s">
        <v>341</v>
      </c>
      <c r="F161" t="s">
        <v>342</v>
      </c>
      <c r="G161" t="s">
        <v>7</v>
      </c>
      <c r="H161" t="s">
        <v>92</v>
      </c>
      <c r="J161">
        <v>53.298520959999998</v>
      </c>
      <c r="K161">
        <v>11.516331470000001</v>
      </c>
      <c r="L161" t="s">
        <v>4</v>
      </c>
      <c r="M161">
        <v>0</v>
      </c>
      <c r="N161">
        <v>1.2365060000000001E-3</v>
      </c>
      <c r="O161">
        <v>7.2029290000000003E-3</v>
      </c>
      <c r="P161">
        <v>1.7647906000000001E-2</v>
      </c>
      <c r="Q161">
        <v>2.6143001999999999E-2</v>
      </c>
      <c r="R161">
        <v>3.6320242000000003E-2</v>
      </c>
      <c r="S161">
        <v>3.6320242000000003E-2</v>
      </c>
    </row>
    <row r="162" spans="1:19" x14ac:dyDescent="0.25">
      <c r="A162" t="s">
        <v>5</v>
      </c>
      <c r="B162" t="s">
        <v>88</v>
      </c>
      <c r="C162" t="s">
        <v>89</v>
      </c>
      <c r="D162" t="s">
        <v>3</v>
      </c>
      <c r="E162" t="s">
        <v>343</v>
      </c>
      <c r="F162" t="s">
        <v>344</v>
      </c>
      <c r="G162" t="s">
        <v>7</v>
      </c>
      <c r="H162" t="s">
        <v>92</v>
      </c>
      <c r="J162">
        <v>54.096261060000003</v>
      </c>
      <c r="K162">
        <v>10.79355679</v>
      </c>
      <c r="L162" t="s">
        <v>4</v>
      </c>
      <c r="M162">
        <v>0</v>
      </c>
      <c r="N162">
        <v>1.079981E-3</v>
      </c>
      <c r="O162">
        <v>6.2911379999999999E-3</v>
      </c>
      <c r="P162">
        <v>1.5413925E-2</v>
      </c>
      <c r="Q162">
        <v>2.2833658999999999E-2</v>
      </c>
      <c r="R162">
        <v>3.1722599999999997E-2</v>
      </c>
      <c r="S162">
        <v>3.1722599999999997E-2</v>
      </c>
    </row>
    <row r="163" spans="1:19" x14ac:dyDescent="0.25">
      <c r="A163" t="s">
        <v>5</v>
      </c>
      <c r="B163" t="s">
        <v>88</v>
      </c>
      <c r="C163" t="s">
        <v>89</v>
      </c>
      <c r="D163" t="s">
        <v>3</v>
      </c>
      <c r="E163" t="s">
        <v>345</v>
      </c>
      <c r="F163" t="s">
        <v>346</v>
      </c>
      <c r="G163" t="s">
        <v>7</v>
      </c>
      <c r="H163" t="s">
        <v>92</v>
      </c>
      <c r="J163">
        <v>54.307207630000001</v>
      </c>
      <c r="K163">
        <v>10.11225058</v>
      </c>
      <c r="L163" t="s">
        <v>4</v>
      </c>
      <c r="M163">
        <v>0</v>
      </c>
      <c r="N163">
        <v>2.98467E-3</v>
      </c>
      <c r="O163">
        <v>1.7386380999999999E-2</v>
      </c>
      <c r="P163">
        <v>4.2598393999999998E-2</v>
      </c>
      <c r="Q163">
        <v>6.3103799000000002E-2</v>
      </c>
      <c r="R163">
        <v>8.7669548999999999E-2</v>
      </c>
      <c r="S163">
        <v>8.7669548999999999E-2</v>
      </c>
    </row>
    <row r="164" spans="1:19" x14ac:dyDescent="0.25">
      <c r="A164" t="s">
        <v>5</v>
      </c>
      <c r="B164" t="s">
        <v>88</v>
      </c>
      <c r="C164" t="s">
        <v>89</v>
      </c>
      <c r="D164" t="s">
        <v>3</v>
      </c>
      <c r="E164" t="s">
        <v>347</v>
      </c>
      <c r="F164" t="s">
        <v>348</v>
      </c>
      <c r="G164" t="s">
        <v>7</v>
      </c>
      <c r="H164" t="s">
        <v>92</v>
      </c>
      <c r="J164">
        <v>54.083000830000003</v>
      </c>
      <c r="K164">
        <v>9.9905855989999992</v>
      </c>
      <c r="L164" t="s">
        <v>4</v>
      </c>
      <c r="M164">
        <v>0</v>
      </c>
      <c r="N164">
        <v>4.2638140000000003E-3</v>
      </c>
      <c r="O164">
        <v>2.4837687000000001E-2</v>
      </c>
      <c r="P164">
        <v>6.0854849000000003E-2</v>
      </c>
      <c r="Q164">
        <v>9.0148283999999995E-2</v>
      </c>
      <c r="R164">
        <v>0.12524221299999999</v>
      </c>
      <c r="S164">
        <v>0.12524221299999999</v>
      </c>
    </row>
    <row r="165" spans="1:19" x14ac:dyDescent="0.25">
      <c r="A165" t="s">
        <v>5</v>
      </c>
      <c r="B165" t="s">
        <v>88</v>
      </c>
      <c r="C165" t="s">
        <v>89</v>
      </c>
      <c r="D165" t="s">
        <v>3</v>
      </c>
      <c r="E165" t="s">
        <v>349</v>
      </c>
      <c r="F165" t="s">
        <v>350</v>
      </c>
      <c r="G165" t="s">
        <v>7</v>
      </c>
      <c r="H165" t="s">
        <v>92</v>
      </c>
      <c r="J165">
        <v>53.618567259999999</v>
      </c>
      <c r="K165">
        <v>10.22449729</v>
      </c>
      <c r="L165" t="s">
        <v>4</v>
      </c>
      <c r="M165">
        <v>0</v>
      </c>
      <c r="N165">
        <v>7.4616739999999997E-3</v>
      </c>
      <c r="O165">
        <v>4.3465952000000002E-2</v>
      </c>
      <c r="P165">
        <v>0.106495986</v>
      </c>
      <c r="Q165">
        <v>0.157759498</v>
      </c>
      <c r="R165">
        <v>0.21917387299999999</v>
      </c>
      <c r="S165">
        <v>0.21917387299999999</v>
      </c>
    </row>
    <row r="166" spans="1:19" x14ac:dyDescent="0.25">
      <c r="A166" t="s">
        <v>5</v>
      </c>
      <c r="B166" t="s">
        <v>88</v>
      </c>
      <c r="C166" t="s">
        <v>89</v>
      </c>
      <c r="D166" t="s">
        <v>3</v>
      </c>
      <c r="E166" t="s">
        <v>351</v>
      </c>
      <c r="F166" t="s">
        <v>352</v>
      </c>
      <c r="G166" t="s">
        <v>7</v>
      </c>
      <c r="H166" t="s">
        <v>92</v>
      </c>
      <c r="J166">
        <v>53.53183087</v>
      </c>
      <c r="K166">
        <v>10.07311881</v>
      </c>
      <c r="L166" t="s">
        <v>4</v>
      </c>
      <c r="M166">
        <v>0</v>
      </c>
      <c r="N166">
        <v>7.4616739999999997E-3</v>
      </c>
      <c r="O166">
        <v>4.3465952000000002E-2</v>
      </c>
      <c r="P166">
        <v>0.106495986</v>
      </c>
      <c r="Q166">
        <v>0.157759498</v>
      </c>
      <c r="R166">
        <v>0.21917387299999999</v>
      </c>
      <c r="S166">
        <v>0.21917387299999999</v>
      </c>
    </row>
    <row r="167" spans="1:19" x14ac:dyDescent="0.25">
      <c r="A167" t="s">
        <v>5</v>
      </c>
      <c r="B167" t="s">
        <v>88</v>
      </c>
      <c r="C167" t="s">
        <v>89</v>
      </c>
      <c r="D167" t="s">
        <v>3</v>
      </c>
      <c r="E167" t="s">
        <v>351</v>
      </c>
      <c r="F167" t="s">
        <v>352</v>
      </c>
      <c r="G167" t="s">
        <v>7</v>
      </c>
      <c r="H167" t="s">
        <v>92</v>
      </c>
      <c r="J167">
        <v>53.520923260000004</v>
      </c>
      <c r="K167">
        <v>9.9339566730000008</v>
      </c>
      <c r="L167" t="s">
        <v>4</v>
      </c>
      <c r="M167">
        <v>0</v>
      </c>
      <c r="N167">
        <v>6.822102E-3</v>
      </c>
      <c r="O167">
        <v>3.9740299E-2</v>
      </c>
      <c r="P167">
        <v>9.7367758999999998E-2</v>
      </c>
      <c r="Q167">
        <v>0.14423725500000001</v>
      </c>
      <c r="R167">
        <v>0.200387541</v>
      </c>
      <c r="S167">
        <v>0.200387541</v>
      </c>
    </row>
    <row r="168" spans="1:19" x14ac:dyDescent="0.25">
      <c r="A168" t="s">
        <v>5</v>
      </c>
      <c r="B168" t="s">
        <v>88</v>
      </c>
      <c r="C168" t="s">
        <v>89</v>
      </c>
      <c r="D168" t="s">
        <v>3</v>
      </c>
      <c r="E168" t="s">
        <v>353</v>
      </c>
      <c r="F168" t="s">
        <v>354</v>
      </c>
      <c r="G168" t="s">
        <v>7</v>
      </c>
      <c r="H168" t="s">
        <v>92</v>
      </c>
      <c r="J168">
        <v>53.70506778</v>
      </c>
      <c r="K168">
        <v>9.7764563590000009</v>
      </c>
      <c r="L168" t="s">
        <v>4</v>
      </c>
      <c r="M168">
        <v>0</v>
      </c>
      <c r="N168">
        <v>1.705526E-3</v>
      </c>
      <c r="O168">
        <v>9.9350749999999998E-3</v>
      </c>
      <c r="P168">
        <v>2.4341939999999999E-2</v>
      </c>
      <c r="Q168">
        <v>3.6059314000000002E-2</v>
      </c>
      <c r="R168">
        <v>5.0096885000000001E-2</v>
      </c>
      <c r="S168">
        <v>5.0096885000000001E-2</v>
      </c>
    </row>
    <row r="169" spans="1:19" x14ac:dyDescent="0.25">
      <c r="A169" t="s">
        <v>5</v>
      </c>
      <c r="B169" t="s">
        <v>88</v>
      </c>
      <c r="C169" t="s">
        <v>89</v>
      </c>
      <c r="D169" t="s">
        <v>3</v>
      </c>
      <c r="E169" t="s">
        <v>101</v>
      </c>
      <c r="F169" t="s">
        <v>102</v>
      </c>
      <c r="G169" t="s">
        <v>7</v>
      </c>
      <c r="H169" t="s">
        <v>92</v>
      </c>
      <c r="J169">
        <v>53.781289000000001</v>
      </c>
      <c r="K169">
        <v>9.4256796680000008</v>
      </c>
      <c r="L169" t="s">
        <v>4</v>
      </c>
      <c r="M169">
        <v>0</v>
      </c>
      <c r="N169">
        <v>5.1165769999999998E-3</v>
      </c>
      <c r="O169">
        <v>2.9805224000000002E-2</v>
      </c>
      <c r="P169">
        <v>7.3025819000000006E-2</v>
      </c>
      <c r="Q169">
        <v>0.108177941</v>
      </c>
      <c r="R169">
        <v>0.15029065599999999</v>
      </c>
      <c r="S169">
        <v>0.15029065599999999</v>
      </c>
    </row>
    <row r="170" spans="1:19" x14ac:dyDescent="0.25">
      <c r="A170" t="s">
        <v>5</v>
      </c>
      <c r="B170" t="s">
        <v>88</v>
      </c>
      <c r="C170" t="s">
        <v>89</v>
      </c>
      <c r="D170" t="s">
        <v>3</v>
      </c>
      <c r="E170" t="s">
        <v>355</v>
      </c>
      <c r="F170" t="s">
        <v>356</v>
      </c>
      <c r="G170" t="s">
        <v>7</v>
      </c>
      <c r="H170" t="s">
        <v>92</v>
      </c>
      <c r="J170">
        <v>53.547990830000003</v>
      </c>
      <c r="K170">
        <v>8.6178952459999998</v>
      </c>
      <c r="L170" t="s">
        <v>4</v>
      </c>
      <c r="M170">
        <v>0</v>
      </c>
      <c r="N170">
        <v>8.5596060000000009E-3</v>
      </c>
      <c r="O170">
        <v>4.9861655999999997E-2</v>
      </c>
      <c r="P170">
        <v>0.12216610999999999</v>
      </c>
      <c r="Q170">
        <v>0.180972681</v>
      </c>
      <c r="R170">
        <v>0.25142374299999998</v>
      </c>
      <c r="S170">
        <v>0.25142374299999998</v>
      </c>
    </row>
    <row r="171" spans="1:19" x14ac:dyDescent="0.25">
      <c r="A171" t="s">
        <v>5</v>
      </c>
      <c r="B171" t="s">
        <v>88</v>
      </c>
      <c r="C171" t="s">
        <v>89</v>
      </c>
      <c r="D171" t="s">
        <v>3</v>
      </c>
      <c r="E171" t="s">
        <v>357</v>
      </c>
      <c r="F171" t="s">
        <v>358</v>
      </c>
      <c r="G171" t="s">
        <v>7</v>
      </c>
      <c r="H171" t="s">
        <v>92</v>
      </c>
      <c r="J171">
        <v>53.179208619999997</v>
      </c>
      <c r="K171">
        <v>8.5723346720000002</v>
      </c>
      <c r="L171" t="s">
        <v>4</v>
      </c>
      <c r="M171">
        <v>0</v>
      </c>
      <c r="N171">
        <v>1.385739E-3</v>
      </c>
      <c r="O171">
        <v>8.0722480000000006E-3</v>
      </c>
      <c r="P171">
        <v>1.9777825999999998E-2</v>
      </c>
      <c r="Q171">
        <v>2.9298192000000001E-2</v>
      </c>
      <c r="R171">
        <v>4.0703718999999999E-2</v>
      </c>
      <c r="S171">
        <v>4.0703718999999999E-2</v>
      </c>
    </row>
    <row r="172" spans="1:19" x14ac:dyDescent="0.25">
      <c r="A172" t="s">
        <v>5</v>
      </c>
      <c r="B172" t="s">
        <v>88</v>
      </c>
      <c r="C172" t="s">
        <v>89</v>
      </c>
      <c r="D172" t="s">
        <v>3</v>
      </c>
      <c r="E172" t="s">
        <v>359</v>
      </c>
      <c r="F172" t="s">
        <v>360</v>
      </c>
      <c r="G172" t="s">
        <v>7</v>
      </c>
      <c r="H172" t="s">
        <v>92</v>
      </c>
      <c r="J172">
        <v>53.124072060000003</v>
      </c>
      <c r="K172">
        <v>8.7278352229999996</v>
      </c>
      <c r="L172" t="s">
        <v>4</v>
      </c>
      <c r="M172">
        <v>0</v>
      </c>
      <c r="N172">
        <v>7.3550789999999996E-3</v>
      </c>
      <c r="O172">
        <v>4.2845010000000003E-2</v>
      </c>
      <c r="P172">
        <v>0.10497461499999999</v>
      </c>
      <c r="Q172">
        <v>0.155505791</v>
      </c>
      <c r="R172">
        <v>0.216042818</v>
      </c>
      <c r="S172">
        <v>0.216042818</v>
      </c>
    </row>
    <row r="173" spans="1:19" x14ac:dyDescent="0.25">
      <c r="A173" t="s">
        <v>5</v>
      </c>
      <c r="B173" t="s">
        <v>88</v>
      </c>
      <c r="C173" t="s">
        <v>89</v>
      </c>
      <c r="D173" t="s">
        <v>3</v>
      </c>
      <c r="E173" t="s">
        <v>359</v>
      </c>
      <c r="F173" t="s">
        <v>360</v>
      </c>
      <c r="G173" t="s">
        <v>7</v>
      </c>
      <c r="H173" t="s">
        <v>92</v>
      </c>
      <c r="J173">
        <v>53.114351059999997</v>
      </c>
      <c r="K173">
        <v>8.8167435249999997</v>
      </c>
      <c r="L173" t="s">
        <v>4</v>
      </c>
      <c r="M173">
        <v>0</v>
      </c>
      <c r="N173">
        <v>1.1725487999999999E-2</v>
      </c>
      <c r="O173">
        <v>6.8303638E-2</v>
      </c>
      <c r="P173">
        <v>0.167350835</v>
      </c>
      <c r="Q173">
        <v>0.24790778199999999</v>
      </c>
      <c r="R173">
        <v>0.34441608699999998</v>
      </c>
      <c r="S173">
        <v>0.34441608699999998</v>
      </c>
    </row>
    <row r="174" spans="1:19" x14ac:dyDescent="0.25">
      <c r="A174" t="s">
        <v>5</v>
      </c>
      <c r="B174" t="s">
        <v>88</v>
      </c>
      <c r="C174" t="s">
        <v>89</v>
      </c>
      <c r="D174" t="s">
        <v>3</v>
      </c>
      <c r="E174" t="s">
        <v>361</v>
      </c>
      <c r="F174" t="s">
        <v>362</v>
      </c>
      <c r="G174" t="s">
        <v>7</v>
      </c>
      <c r="H174" t="s">
        <v>92</v>
      </c>
      <c r="J174">
        <v>53.181020879999998</v>
      </c>
      <c r="K174">
        <v>7.354555951</v>
      </c>
      <c r="L174" t="s">
        <v>4</v>
      </c>
      <c r="M174">
        <v>0</v>
      </c>
      <c r="N174">
        <v>3.837432E-3</v>
      </c>
      <c r="O174">
        <v>2.2353918E-2</v>
      </c>
      <c r="P174">
        <v>5.4769364000000001E-2</v>
      </c>
      <c r="Q174">
        <v>8.1133456000000007E-2</v>
      </c>
      <c r="R174">
        <v>0.112717992</v>
      </c>
      <c r="S174">
        <v>0.112717992</v>
      </c>
    </row>
    <row r="175" spans="1:19" x14ac:dyDescent="0.25">
      <c r="A175" t="s">
        <v>5</v>
      </c>
      <c r="B175" t="s">
        <v>88</v>
      </c>
      <c r="C175" t="s">
        <v>89</v>
      </c>
      <c r="D175" t="s">
        <v>3</v>
      </c>
      <c r="E175" t="s">
        <v>363</v>
      </c>
      <c r="F175" t="s">
        <v>364</v>
      </c>
      <c r="G175" t="s">
        <v>7</v>
      </c>
      <c r="H175" t="s">
        <v>92</v>
      </c>
      <c r="J175">
        <v>52.643203130000003</v>
      </c>
      <c r="K175">
        <v>6.7421377009999999</v>
      </c>
      <c r="L175" t="s">
        <v>4</v>
      </c>
      <c r="M175">
        <v>0</v>
      </c>
      <c r="N175">
        <v>9.6826099999999995E-3</v>
      </c>
      <c r="O175">
        <v>5.6403406000000003E-2</v>
      </c>
      <c r="P175">
        <v>0.13819406000000001</v>
      </c>
      <c r="Q175">
        <v>0.20471593599999999</v>
      </c>
      <c r="R175">
        <v>0.284410037</v>
      </c>
      <c r="S175">
        <v>0.284410037</v>
      </c>
    </row>
    <row r="176" spans="1:19" x14ac:dyDescent="0.25">
      <c r="A176" t="s">
        <v>5</v>
      </c>
      <c r="B176" t="s">
        <v>88</v>
      </c>
      <c r="C176" t="s">
        <v>89</v>
      </c>
      <c r="D176" t="s">
        <v>3</v>
      </c>
      <c r="E176" t="s">
        <v>365</v>
      </c>
      <c r="F176" t="s">
        <v>366</v>
      </c>
      <c r="G176" t="s">
        <v>7</v>
      </c>
      <c r="H176" t="s">
        <v>92</v>
      </c>
      <c r="J176">
        <v>52.313141109999997</v>
      </c>
      <c r="K176">
        <v>7.3507255469999997</v>
      </c>
      <c r="L176" t="s">
        <v>4</v>
      </c>
      <c r="M176">
        <v>0</v>
      </c>
      <c r="N176">
        <v>2.7714789999999999E-3</v>
      </c>
      <c r="O176">
        <v>1.6144496000000001E-2</v>
      </c>
      <c r="P176">
        <v>3.9555651999999997E-2</v>
      </c>
      <c r="Q176">
        <v>5.8596385000000001E-2</v>
      </c>
      <c r="R176">
        <v>8.1407438999999998E-2</v>
      </c>
      <c r="S176">
        <v>8.1407438999999998E-2</v>
      </c>
    </row>
    <row r="263" spans="17:19" x14ac:dyDescent="0.25">
      <c r="Q263" s="100"/>
      <c r="R263" s="100"/>
      <c r="S263" s="100"/>
    </row>
    <row r="478" spans="17:19" x14ac:dyDescent="0.25">
      <c r="Q478" s="100"/>
      <c r="R478" s="100"/>
      <c r="S478" s="100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4753-5198-4AF9-AA6C-EC5BB89E31BB}">
  <dimension ref="A1:S212"/>
  <sheetViews>
    <sheetView topLeftCell="A173" workbookViewId="0">
      <selection activeCell="A2" sqref="A2:S212"/>
    </sheetView>
  </sheetViews>
  <sheetFormatPr baseColWidth="10" defaultRowHeight="15" x14ac:dyDescent="0.25"/>
  <cols>
    <col min="1" max="1" width="13" bestFit="1" customWidth="1"/>
  </cols>
  <sheetData>
    <row r="1" spans="1:19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0</v>
      </c>
      <c r="K1" t="s">
        <v>1</v>
      </c>
      <c r="L1" t="s">
        <v>87</v>
      </c>
      <c r="M1">
        <v>2021</v>
      </c>
      <c r="N1">
        <v>2025</v>
      </c>
      <c r="O1">
        <v>2030</v>
      </c>
      <c r="P1">
        <v>2035</v>
      </c>
      <c r="Q1">
        <v>2040</v>
      </c>
      <c r="R1">
        <v>2045</v>
      </c>
      <c r="S1">
        <v>2050</v>
      </c>
    </row>
    <row r="2" spans="1:19" x14ac:dyDescent="0.25">
      <c r="A2" t="s">
        <v>2</v>
      </c>
      <c r="B2" t="s">
        <v>88</v>
      </c>
      <c r="C2" t="s">
        <v>89</v>
      </c>
      <c r="D2" t="s">
        <v>3</v>
      </c>
      <c r="E2" t="s">
        <v>90</v>
      </c>
      <c r="F2" t="s">
        <v>91</v>
      </c>
      <c r="G2" t="s">
        <v>6</v>
      </c>
      <c r="H2" t="s">
        <v>92</v>
      </c>
      <c r="J2">
        <v>48.653686829999998</v>
      </c>
      <c r="K2">
        <v>10.16246767</v>
      </c>
      <c r="L2" t="s">
        <v>4</v>
      </c>
      <c r="M2">
        <v>0.413052963</v>
      </c>
      <c r="N2">
        <v>0.36142134300000001</v>
      </c>
      <c r="O2">
        <v>0.39179288400000001</v>
      </c>
      <c r="P2">
        <v>0.35838418900000002</v>
      </c>
      <c r="Q2">
        <v>0.32801264699999999</v>
      </c>
      <c r="R2">
        <v>0.294603952</v>
      </c>
      <c r="S2">
        <v>0.294603952</v>
      </c>
    </row>
    <row r="3" spans="1:19" x14ac:dyDescent="0.25">
      <c r="A3" t="s">
        <v>2</v>
      </c>
      <c r="B3" t="s">
        <v>88</v>
      </c>
      <c r="C3" t="s">
        <v>89</v>
      </c>
      <c r="D3" t="s">
        <v>3</v>
      </c>
      <c r="E3" t="s">
        <v>93</v>
      </c>
      <c r="F3" t="s">
        <v>94</v>
      </c>
      <c r="G3" t="s">
        <v>6</v>
      </c>
      <c r="H3" t="s">
        <v>92</v>
      </c>
      <c r="J3">
        <v>49.357679390000001</v>
      </c>
      <c r="K3">
        <v>8.6858323980000005</v>
      </c>
      <c r="L3" t="s">
        <v>4</v>
      </c>
      <c r="M3">
        <v>0.383086916</v>
      </c>
      <c r="N3">
        <v>0.383086916</v>
      </c>
      <c r="O3">
        <v>0.33520105100000003</v>
      </c>
      <c r="P3">
        <v>0.36336920700000003</v>
      </c>
      <c r="Q3">
        <v>0.332384236</v>
      </c>
      <c r="R3">
        <v>0.30421608</v>
      </c>
      <c r="S3">
        <v>0.30421608</v>
      </c>
    </row>
    <row r="4" spans="1:19" x14ac:dyDescent="0.25">
      <c r="A4" t="s">
        <v>2</v>
      </c>
      <c r="B4" t="s">
        <v>88</v>
      </c>
      <c r="C4" t="s">
        <v>89</v>
      </c>
      <c r="D4" t="s">
        <v>3</v>
      </c>
      <c r="E4" t="s">
        <v>95</v>
      </c>
      <c r="F4" t="s">
        <v>96</v>
      </c>
      <c r="G4" t="s">
        <v>6</v>
      </c>
      <c r="H4" t="s">
        <v>92</v>
      </c>
      <c r="J4">
        <v>49.018412980000001</v>
      </c>
      <c r="K4">
        <v>8.6124897310000001</v>
      </c>
      <c r="L4" t="s">
        <v>4</v>
      </c>
      <c r="M4">
        <v>0.35976087899999998</v>
      </c>
      <c r="N4">
        <v>0.35976087899999998</v>
      </c>
      <c r="O4">
        <v>0.31479076900000003</v>
      </c>
      <c r="P4">
        <v>0.34124377500000003</v>
      </c>
      <c r="Q4">
        <v>0.31214546799999998</v>
      </c>
      <c r="R4">
        <v>0.28569246300000001</v>
      </c>
      <c r="S4">
        <v>0.28569246300000001</v>
      </c>
    </row>
    <row r="5" spans="1:19" x14ac:dyDescent="0.25">
      <c r="A5" t="s">
        <v>2</v>
      </c>
      <c r="B5" t="s">
        <v>88</v>
      </c>
      <c r="C5" t="s">
        <v>89</v>
      </c>
      <c r="D5" t="s">
        <v>3</v>
      </c>
      <c r="E5" t="s">
        <v>97</v>
      </c>
      <c r="F5" t="s">
        <v>98</v>
      </c>
      <c r="G5" t="s">
        <v>6</v>
      </c>
      <c r="H5" t="s">
        <v>92</v>
      </c>
      <c r="J5">
        <v>48.331986280000002</v>
      </c>
      <c r="K5">
        <v>9.7304687479999998</v>
      </c>
      <c r="L5" t="s">
        <v>4</v>
      </c>
      <c r="M5">
        <v>0.45278303800000003</v>
      </c>
      <c r="N5">
        <v>0.45278303800000003</v>
      </c>
      <c r="O5">
        <v>0.39618515799999998</v>
      </c>
      <c r="P5">
        <v>0.42947802899999998</v>
      </c>
      <c r="Q5">
        <v>0.39285587100000002</v>
      </c>
      <c r="R5">
        <v>0.35956300099999999</v>
      </c>
      <c r="S5">
        <v>0.35956300099999999</v>
      </c>
    </row>
    <row r="6" spans="1:19" x14ac:dyDescent="0.25">
      <c r="A6" t="s">
        <v>2</v>
      </c>
      <c r="B6" t="s">
        <v>88</v>
      </c>
      <c r="C6" t="s">
        <v>89</v>
      </c>
      <c r="D6" t="s">
        <v>3</v>
      </c>
      <c r="E6" t="s">
        <v>97</v>
      </c>
      <c r="F6" t="s">
        <v>98</v>
      </c>
      <c r="G6" t="s">
        <v>6</v>
      </c>
      <c r="H6" t="s">
        <v>92</v>
      </c>
      <c r="J6">
        <v>48.368603120000003</v>
      </c>
      <c r="K6">
        <v>9.7346784</v>
      </c>
      <c r="L6" t="s">
        <v>4</v>
      </c>
      <c r="M6">
        <v>0.60784703699999998</v>
      </c>
      <c r="N6">
        <v>0.60784703699999998</v>
      </c>
      <c r="O6">
        <v>0.53186615699999995</v>
      </c>
      <c r="P6">
        <v>0.57656079199999999</v>
      </c>
      <c r="Q6">
        <v>0.527396694</v>
      </c>
      <c r="R6">
        <v>0.48270205900000002</v>
      </c>
      <c r="S6">
        <v>0.48270205900000002</v>
      </c>
    </row>
    <row r="7" spans="1:19" x14ac:dyDescent="0.25">
      <c r="A7" t="s">
        <v>2</v>
      </c>
      <c r="B7" t="s">
        <v>88</v>
      </c>
      <c r="C7" t="s">
        <v>89</v>
      </c>
      <c r="D7" t="s">
        <v>3</v>
      </c>
      <c r="E7" t="s">
        <v>99</v>
      </c>
      <c r="F7" t="s">
        <v>100</v>
      </c>
      <c r="G7" t="s">
        <v>6</v>
      </c>
      <c r="H7" t="s">
        <v>92</v>
      </c>
      <c r="J7">
        <v>48.227041210000003</v>
      </c>
      <c r="K7">
        <v>8.7790961079999992</v>
      </c>
      <c r="L7" t="s">
        <v>4</v>
      </c>
      <c r="M7">
        <v>0.52629559800000003</v>
      </c>
      <c r="N7">
        <v>0.52629559800000003</v>
      </c>
      <c r="O7">
        <v>0.46050864800000002</v>
      </c>
      <c r="P7">
        <v>0.49920685399999998</v>
      </c>
      <c r="Q7">
        <v>0.45663882700000002</v>
      </c>
      <c r="R7">
        <v>0.41794062199999998</v>
      </c>
      <c r="S7">
        <v>0.41794062199999998</v>
      </c>
    </row>
    <row r="8" spans="1:19" x14ac:dyDescent="0.25">
      <c r="A8" t="s">
        <v>2</v>
      </c>
      <c r="B8" t="s">
        <v>88</v>
      </c>
      <c r="C8" t="s">
        <v>89</v>
      </c>
      <c r="D8" t="s">
        <v>3</v>
      </c>
      <c r="E8" t="s">
        <v>101</v>
      </c>
      <c r="F8" t="s">
        <v>102</v>
      </c>
      <c r="G8" t="s">
        <v>6</v>
      </c>
      <c r="H8" t="s">
        <v>92</v>
      </c>
      <c r="J8">
        <v>53.874164919999998</v>
      </c>
      <c r="K8">
        <v>9.5832685959999999</v>
      </c>
      <c r="L8" t="s">
        <v>4</v>
      </c>
      <c r="M8">
        <v>0.79108328400000005</v>
      </c>
      <c r="N8">
        <v>0.79108328400000005</v>
      </c>
      <c r="O8">
        <v>0.69219787300000002</v>
      </c>
      <c r="P8">
        <v>0.75036576200000005</v>
      </c>
      <c r="Q8">
        <v>0.68638108399999997</v>
      </c>
      <c r="R8">
        <v>0.62821319600000003</v>
      </c>
      <c r="S8">
        <v>0.62821319600000003</v>
      </c>
    </row>
    <row r="9" spans="1:19" x14ac:dyDescent="0.25">
      <c r="A9" t="s">
        <v>2</v>
      </c>
      <c r="B9" t="s">
        <v>88</v>
      </c>
      <c r="C9" t="s">
        <v>89</v>
      </c>
      <c r="D9" t="s">
        <v>3</v>
      </c>
      <c r="E9" t="s">
        <v>103</v>
      </c>
      <c r="F9" t="s">
        <v>104</v>
      </c>
      <c r="G9" t="s">
        <v>6</v>
      </c>
      <c r="H9" t="s">
        <v>92</v>
      </c>
      <c r="J9">
        <v>52.349831299999998</v>
      </c>
      <c r="K9">
        <v>9.8859338710000007</v>
      </c>
      <c r="L9" t="s">
        <v>4</v>
      </c>
      <c r="M9">
        <v>0.46625867999999998</v>
      </c>
      <c r="N9">
        <v>0.46625867999999998</v>
      </c>
      <c r="O9">
        <v>0.40797634500000002</v>
      </c>
      <c r="P9">
        <v>0.44226007099999998</v>
      </c>
      <c r="Q9">
        <v>0.40454797199999998</v>
      </c>
      <c r="R9">
        <v>0.37026424600000002</v>
      </c>
      <c r="S9">
        <v>0.37026424600000002</v>
      </c>
    </row>
    <row r="10" spans="1:19" x14ac:dyDescent="0.25">
      <c r="A10" t="s">
        <v>2</v>
      </c>
      <c r="B10" t="s">
        <v>88</v>
      </c>
      <c r="C10" t="s">
        <v>89</v>
      </c>
      <c r="D10" t="s">
        <v>3</v>
      </c>
      <c r="E10" t="s">
        <v>105</v>
      </c>
      <c r="F10" t="s">
        <v>106</v>
      </c>
      <c r="G10" t="s">
        <v>6</v>
      </c>
      <c r="H10" t="s">
        <v>92</v>
      </c>
      <c r="J10">
        <v>51.765173730000001</v>
      </c>
      <c r="K10">
        <v>8.0540287880000001</v>
      </c>
      <c r="L10" t="s">
        <v>4</v>
      </c>
      <c r="M10">
        <v>0.41116984299999998</v>
      </c>
      <c r="N10">
        <v>0.41116984299999998</v>
      </c>
      <c r="O10">
        <v>0.35977361299999999</v>
      </c>
      <c r="P10">
        <v>0.39000668900000002</v>
      </c>
      <c r="Q10">
        <v>0.35675030499999999</v>
      </c>
      <c r="R10">
        <v>0.32651722799999999</v>
      </c>
      <c r="S10">
        <v>0.32651722799999999</v>
      </c>
    </row>
    <row r="11" spans="1:19" x14ac:dyDescent="0.25">
      <c r="A11" t="s">
        <v>2</v>
      </c>
      <c r="B11" t="s">
        <v>88</v>
      </c>
      <c r="C11" t="s">
        <v>89</v>
      </c>
      <c r="D11" t="s">
        <v>3</v>
      </c>
      <c r="E11" t="s">
        <v>107</v>
      </c>
      <c r="F11" t="s">
        <v>108</v>
      </c>
      <c r="G11" t="s">
        <v>6</v>
      </c>
      <c r="H11" t="s">
        <v>92</v>
      </c>
      <c r="J11">
        <v>52.174985890000002</v>
      </c>
      <c r="K11">
        <v>7.8878276410000003</v>
      </c>
      <c r="L11" t="s">
        <v>4</v>
      </c>
      <c r="M11">
        <v>0.78009607700000005</v>
      </c>
      <c r="N11">
        <v>0.78009607700000005</v>
      </c>
      <c r="O11">
        <v>0.68258406800000004</v>
      </c>
      <c r="P11">
        <v>0.73994407299999998</v>
      </c>
      <c r="Q11">
        <v>0.676848067</v>
      </c>
      <c r="R11">
        <v>0.61948806099999998</v>
      </c>
      <c r="S11">
        <v>0.61948806099999998</v>
      </c>
    </row>
    <row r="12" spans="1:19" x14ac:dyDescent="0.25">
      <c r="A12" t="s">
        <v>2</v>
      </c>
      <c r="B12" t="s">
        <v>88</v>
      </c>
      <c r="C12" t="s">
        <v>89</v>
      </c>
      <c r="D12" t="s">
        <v>3</v>
      </c>
      <c r="E12" t="s">
        <v>109</v>
      </c>
      <c r="F12" t="s">
        <v>110</v>
      </c>
      <c r="G12" t="s">
        <v>6</v>
      </c>
      <c r="H12" t="s">
        <v>92</v>
      </c>
      <c r="J12">
        <v>51.698988470000003</v>
      </c>
      <c r="K12">
        <v>8.7470409070000006</v>
      </c>
      <c r="L12" t="s">
        <v>4</v>
      </c>
      <c r="M12">
        <v>0.16345647099999999</v>
      </c>
      <c r="N12">
        <v>0.16345647099999999</v>
      </c>
      <c r="O12">
        <v>0.14302441199999999</v>
      </c>
      <c r="P12">
        <v>0.15504327000000001</v>
      </c>
      <c r="Q12">
        <v>0.141822526</v>
      </c>
      <c r="R12">
        <v>0.12980366800000001</v>
      </c>
      <c r="S12">
        <v>0.12980366800000001</v>
      </c>
    </row>
    <row r="13" spans="1:19" x14ac:dyDescent="0.25">
      <c r="A13" t="s">
        <v>2</v>
      </c>
      <c r="B13" t="s">
        <v>88</v>
      </c>
      <c r="C13" t="s">
        <v>89</v>
      </c>
      <c r="D13" t="s">
        <v>3</v>
      </c>
      <c r="E13" t="s">
        <v>111</v>
      </c>
      <c r="F13" t="s">
        <v>112</v>
      </c>
      <c r="G13" t="s">
        <v>6</v>
      </c>
      <c r="H13" t="s">
        <v>92</v>
      </c>
      <c r="J13">
        <v>51.62256052</v>
      </c>
      <c r="K13">
        <v>8.5043928809999993</v>
      </c>
      <c r="L13" t="s">
        <v>4</v>
      </c>
      <c r="M13">
        <v>0.18801528300000001</v>
      </c>
      <c r="N13">
        <v>0.18801528300000001</v>
      </c>
      <c r="O13">
        <v>0.16451337299999999</v>
      </c>
      <c r="P13">
        <v>0.17833802600000001</v>
      </c>
      <c r="Q13">
        <v>0.16313090699999999</v>
      </c>
      <c r="R13">
        <v>0.149306254</v>
      </c>
      <c r="S13">
        <v>0.149306254</v>
      </c>
    </row>
    <row r="14" spans="1:19" x14ac:dyDescent="0.25">
      <c r="A14" t="s">
        <v>2</v>
      </c>
      <c r="B14" t="s">
        <v>88</v>
      </c>
      <c r="C14" t="s">
        <v>89</v>
      </c>
      <c r="D14" t="s">
        <v>3</v>
      </c>
      <c r="E14" t="s">
        <v>111</v>
      </c>
      <c r="F14" t="s">
        <v>112</v>
      </c>
      <c r="G14" t="s">
        <v>6</v>
      </c>
      <c r="H14" t="s">
        <v>92</v>
      </c>
      <c r="J14">
        <v>51.597210140000001</v>
      </c>
      <c r="K14">
        <v>8.3346819449999998</v>
      </c>
      <c r="L14" t="s">
        <v>4</v>
      </c>
      <c r="M14">
        <v>0.28201554299999998</v>
      </c>
      <c r="N14">
        <v>0.28201554299999998</v>
      </c>
      <c r="O14">
        <v>0.2467636</v>
      </c>
      <c r="P14">
        <v>0.26750003700000002</v>
      </c>
      <c r="Q14">
        <v>0.24468995599999999</v>
      </c>
      <c r="R14">
        <v>0.22395351899999999</v>
      </c>
      <c r="S14">
        <v>0.22395351899999999</v>
      </c>
    </row>
    <row r="15" spans="1:19" x14ac:dyDescent="0.25">
      <c r="A15" t="s">
        <v>2</v>
      </c>
      <c r="B15" t="s">
        <v>88</v>
      </c>
      <c r="C15" t="s">
        <v>89</v>
      </c>
      <c r="D15" t="s">
        <v>3</v>
      </c>
      <c r="E15" t="s">
        <v>111</v>
      </c>
      <c r="F15" t="s">
        <v>112</v>
      </c>
      <c r="G15" t="s">
        <v>6</v>
      </c>
      <c r="H15" t="s">
        <v>92</v>
      </c>
      <c r="J15">
        <v>51.594684739999998</v>
      </c>
      <c r="K15">
        <v>8.3349065200000005</v>
      </c>
      <c r="L15" t="s">
        <v>4</v>
      </c>
      <c r="M15">
        <v>0.41794125100000001</v>
      </c>
      <c r="N15">
        <v>0.41794125100000001</v>
      </c>
      <c r="O15">
        <v>0.36569859500000002</v>
      </c>
      <c r="P15">
        <v>0.39642956899999998</v>
      </c>
      <c r="Q15">
        <v>0.36262549799999999</v>
      </c>
      <c r="R15">
        <v>0.331894523</v>
      </c>
      <c r="S15">
        <v>0.331894523</v>
      </c>
    </row>
    <row r="16" spans="1:19" x14ac:dyDescent="0.25">
      <c r="A16" t="s">
        <v>2</v>
      </c>
      <c r="B16" t="s">
        <v>88</v>
      </c>
      <c r="C16" t="s">
        <v>89</v>
      </c>
      <c r="D16" t="s">
        <v>3</v>
      </c>
      <c r="E16" t="s">
        <v>111</v>
      </c>
      <c r="F16" t="s">
        <v>112</v>
      </c>
      <c r="G16" t="s">
        <v>6</v>
      </c>
      <c r="H16" t="s">
        <v>92</v>
      </c>
      <c r="J16">
        <v>51.601120729999998</v>
      </c>
      <c r="K16">
        <v>8.3361264300000002</v>
      </c>
      <c r="L16" t="s">
        <v>4</v>
      </c>
      <c r="M16">
        <v>0.52548137500000003</v>
      </c>
      <c r="N16">
        <v>0.52548137500000003</v>
      </c>
      <c r="O16">
        <v>0.45979620300000001</v>
      </c>
      <c r="P16">
        <v>0.49843453999999998</v>
      </c>
      <c r="Q16">
        <v>0.45593236999999998</v>
      </c>
      <c r="R16">
        <v>0.41729403300000001</v>
      </c>
      <c r="S16">
        <v>0.41729403300000001</v>
      </c>
    </row>
    <row r="17" spans="1:19" x14ac:dyDescent="0.25">
      <c r="A17" t="s">
        <v>2</v>
      </c>
      <c r="B17" t="s">
        <v>88</v>
      </c>
      <c r="C17" t="s">
        <v>89</v>
      </c>
      <c r="D17" t="s">
        <v>3</v>
      </c>
      <c r="E17" t="s">
        <v>113</v>
      </c>
      <c r="F17" t="s">
        <v>114</v>
      </c>
      <c r="G17" t="s">
        <v>6</v>
      </c>
      <c r="H17" t="s">
        <v>92</v>
      </c>
      <c r="J17">
        <v>50.031909560000003</v>
      </c>
      <c r="K17">
        <v>8.2570017539999991</v>
      </c>
      <c r="L17" t="s">
        <v>4</v>
      </c>
      <c r="M17">
        <v>0.12881325699999999</v>
      </c>
      <c r="N17">
        <v>0.12881325699999999</v>
      </c>
      <c r="O17">
        <v>0.1127116</v>
      </c>
      <c r="P17">
        <v>0.122183163</v>
      </c>
      <c r="Q17">
        <v>0.111764443</v>
      </c>
      <c r="R17">
        <v>0.10229288</v>
      </c>
      <c r="S17">
        <v>0.10229288</v>
      </c>
    </row>
    <row r="18" spans="1:19" x14ac:dyDescent="0.25">
      <c r="A18" t="s">
        <v>2</v>
      </c>
      <c r="B18" t="s">
        <v>88</v>
      </c>
      <c r="C18" t="s">
        <v>89</v>
      </c>
      <c r="D18" t="s">
        <v>3</v>
      </c>
      <c r="E18" t="s">
        <v>115</v>
      </c>
      <c r="F18" t="s">
        <v>116</v>
      </c>
      <c r="G18" t="s">
        <v>6</v>
      </c>
      <c r="H18" t="s">
        <v>92</v>
      </c>
      <c r="J18">
        <v>50.584524440000003</v>
      </c>
      <c r="K18">
        <v>9.5095189270000002</v>
      </c>
      <c r="L18" t="s">
        <v>4</v>
      </c>
      <c r="M18">
        <v>0.104529789</v>
      </c>
      <c r="N18">
        <v>0.104529789</v>
      </c>
      <c r="O18">
        <v>9.1463564999999997E-2</v>
      </c>
      <c r="P18">
        <v>9.9149579000000002E-2</v>
      </c>
      <c r="Q18">
        <v>9.0694964000000003E-2</v>
      </c>
      <c r="R18">
        <v>8.3008949999999998E-2</v>
      </c>
      <c r="S18">
        <v>8.3008949999999998E-2</v>
      </c>
    </row>
    <row r="19" spans="1:19" x14ac:dyDescent="0.25">
      <c r="A19" t="s">
        <v>2</v>
      </c>
      <c r="B19" t="s">
        <v>88</v>
      </c>
      <c r="C19" t="s">
        <v>89</v>
      </c>
      <c r="D19" t="s">
        <v>3</v>
      </c>
      <c r="E19" t="s">
        <v>117</v>
      </c>
      <c r="F19" t="s">
        <v>118</v>
      </c>
      <c r="G19" t="s">
        <v>6</v>
      </c>
      <c r="H19" t="s">
        <v>92</v>
      </c>
      <c r="J19">
        <v>50.333990059999998</v>
      </c>
      <c r="K19">
        <v>6.7668281370000001</v>
      </c>
      <c r="L19" t="s">
        <v>4</v>
      </c>
      <c r="M19">
        <v>0.13159180100000001</v>
      </c>
      <c r="N19">
        <v>0.13159180100000001</v>
      </c>
      <c r="O19">
        <v>0.115142825</v>
      </c>
      <c r="P19">
        <v>0.12481869299999999</v>
      </c>
      <c r="Q19">
        <v>0.114175239</v>
      </c>
      <c r="R19">
        <v>0.10449937099999999</v>
      </c>
      <c r="S19">
        <v>0.10449937099999999</v>
      </c>
    </row>
    <row r="20" spans="1:19" x14ac:dyDescent="0.25">
      <c r="A20" t="s">
        <v>2</v>
      </c>
      <c r="B20" t="s">
        <v>88</v>
      </c>
      <c r="C20" t="s">
        <v>89</v>
      </c>
      <c r="D20" t="s">
        <v>3</v>
      </c>
      <c r="E20" t="s">
        <v>119</v>
      </c>
      <c r="F20" t="s">
        <v>120</v>
      </c>
      <c r="G20" t="s">
        <v>6</v>
      </c>
      <c r="H20" t="s">
        <v>92</v>
      </c>
      <c r="J20">
        <v>49.601018850000003</v>
      </c>
      <c r="K20">
        <v>8.0413779420000004</v>
      </c>
      <c r="L20" t="s">
        <v>4</v>
      </c>
      <c r="M20">
        <v>0.52443019400000002</v>
      </c>
      <c r="N20">
        <v>0.52443019400000002</v>
      </c>
      <c r="O20">
        <v>0.45887642000000001</v>
      </c>
      <c r="P20">
        <v>0.49743746300000002</v>
      </c>
      <c r="Q20">
        <v>0.45502031500000001</v>
      </c>
      <c r="R20">
        <v>0.41645927199999999</v>
      </c>
      <c r="S20">
        <v>0.41645927199999999</v>
      </c>
    </row>
    <row r="21" spans="1:19" x14ac:dyDescent="0.25">
      <c r="A21" t="s">
        <v>2</v>
      </c>
      <c r="B21" t="s">
        <v>88</v>
      </c>
      <c r="C21" t="s">
        <v>89</v>
      </c>
      <c r="D21" t="s">
        <v>3</v>
      </c>
      <c r="E21" t="s">
        <v>121</v>
      </c>
      <c r="F21" t="s">
        <v>122</v>
      </c>
      <c r="G21" t="s">
        <v>6</v>
      </c>
      <c r="H21" t="s">
        <v>92</v>
      </c>
      <c r="J21">
        <v>47.790819620000001</v>
      </c>
      <c r="K21">
        <v>12.18159007</v>
      </c>
      <c r="L21" t="s">
        <v>4</v>
      </c>
      <c r="M21">
        <v>0.56116026799999996</v>
      </c>
      <c r="N21">
        <v>0.56116026799999996</v>
      </c>
      <c r="O21">
        <v>0.49101523499999999</v>
      </c>
      <c r="P21">
        <v>0.53227701900000002</v>
      </c>
      <c r="Q21">
        <v>0.48688905599999999</v>
      </c>
      <c r="R21">
        <v>0.44562727200000002</v>
      </c>
      <c r="S21">
        <v>0.44562727200000002</v>
      </c>
    </row>
    <row r="22" spans="1:19" x14ac:dyDescent="0.25">
      <c r="A22" t="s">
        <v>2</v>
      </c>
      <c r="B22" t="s">
        <v>88</v>
      </c>
      <c r="C22" t="s">
        <v>89</v>
      </c>
      <c r="D22" t="s">
        <v>3</v>
      </c>
      <c r="E22" t="s">
        <v>123</v>
      </c>
      <c r="F22" t="s">
        <v>124</v>
      </c>
      <c r="G22" t="s">
        <v>6</v>
      </c>
      <c r="H22" t="s">
        <v>92</v>
      </c>
      <c r="J22">
        <v>49.21283244</v>
      </c>
      <c r="K22">
        <v>12.028256949999999</v>
      </c>
      <c r="L22" t="s">
        <v>4</v>
      </c>
      <c r="M22">
        <v>0.65150501599999999</v>
      </c>
      <c r="N22">
        <v>0.65150501599999999</v>
      </c>
      <c r="O22">
        <v>0.57006688900000002</v>
      </c>
      <c r="P22">
        <v>0.617971669</v>
      </c>
      <c r="Q22">
        <v>0.56527641100000003</v>
      </c>
      <c r="R22">
        <v>0.51737162999999997</v>
      </c>
      <c r="S22">
        <v>0.51737162999999997</v>
      </c>
    </row>
    <row r="23" spans="1:19" x14ac:dyDescent="0.25">
      <c r="A23" t="s">
        <v>2</v>
      </c>
      <c r="B23" t="s">
        <v>88</v>
      </c>
      <c r="C23" t="s">
        <v>89</v>
      </c>
      <c r="D23" t="s">
        <v>3</v>
      </c>
      <c r="E23" t="s">
        <v>125</v>
      </c>
      <c r="F23" t="s">
        <v>126</v>
      </c>
      <c r="G23" t="s">
        <v>6</v>
      </c>
      <c r="H23" t="s">
        <v>92</v>
      </c>
      <c r="J23">
        <v>48.884912460000002</v>
      </c>
      <c r="K23">
        <v>10.99769729</v>
      </c>
      <c r="L23" t="s">
        <v>4</v>
      </c>
      <c r="M23">
        <v>0.225386106</v>
      </c>
      <c r="N23">
        <v>0.225386106</v>
      </c>
      <c r="O23">
        <v>0.197212842</v>
      </c>
      <c r="P23">
        <v>0.21378535000000001</v>
      </c>
      <c r="Q23">
        <v>0.195555592</v>
      </c>
      <c r="R23">
        <v>0.17898308399999999</v>
      </c>
      <c r="S23">
        <v>0.17898308399999999</v>
      </c>
    </row>
    <row r="24" spans="1:19" x14ac:dyDescent="0.25">
      <c r="A24" t="s">
        <v>2</v>
      </c>
      <c r="B24" t="s">
        <v>88</v>
      </c>
      <c r="C24" t="s">
        <v>89</v>
      </c>
      <c r="D24" t="s">
        <v>3</v>
      </c>
      <c r="E24" t="s">
        <v>127</v>
      </c>
      <c r="F24" t="s">
        <v>128</v>
      </c>
      <c r="G24" t="s">
        <v>6</v>
      </c>
      <c r="H24" t="s">
        <v>92</v>
      </c>
      <c r="J24">
        <v>49.808461000000001</v>
      </c>
      <c r="K24">
        <v>9.6178912790000002</v>
      </c>
      <c r="L24" t="s">
        <v>4</v>
      </c>
      <c r="M24">
        <v>0.470449379</v>
      </c>
      <c r="N24">
        <v>0.470449379</v>
      </c>
      <c r="O24">
        <v>0.41164320700000001</v>
      </c>
      <c r="P24">
        <v>0.44623507299999998</v>
      </c>
      <c r="Q24">
        <v>0.40818401999999998</v>
      </c>
      <c r="R24">
        <v>0.37359215400000001</v>
      </c>
      <c r="S24">
        <v>0.37359215400000001</v>
      </c>
    </row>
    <row r="25" spans="1:19" x14ac:dyDescent="0.25">
      <c r="A25" t="s">
        <v>2</v>
      </c>
      <c r="B25" t="s">
        <v>88</v>
      </c>
      <c r="C25" t="s">
        <v>89</v>
      </c>
      <c r="D25" t="s">
        <v>3</v>
      </c>
      <c r="E25" t="s">
        <v>127</v>
      </c>
      <c r="F25" t="s">
        <v>128</v>
      </c>
      <c r="G25" t="s">
        <v>6</v>
      </c>
      <c r="H25" t="s">
        <v>92</v>
      </c>
      <c r="J25">
        <v>49.955004879999997</v>
      </c>
      <c r="K25">
        <v>9.7685104519999992</v>
      </c>
      <c r="L25" t="s">
        <v>4</v>
      </c>
      <c r="M25">
        <v>0.42839917599999999</v>
      </c>
      <c r="N25">
        <v>0.42839917599999999</v>
      </c>
      <c r="O25">
        <v>0.37484927899999998</v>
      </c>
      <c r="P25">
        <v>0.40634921899999998</v>
      </c>
      <c r="Q25">
        <v>0.37169928499999999</v>
      </c>
      <c r="R25">
        <v>0.34019934600000001</v>
      </c>
      <c r="S25">
        <v>0.34019934600000001</v>
      </c>
    </row>
    <row r="26" spans="1:19" x14ac:dyDescent="0.25">
      <c r="A26" t="s">
        <v>2</v>
      </c>
      <c r="B26" t="s">
        <v>88</v>
      </c>
      <c r="C26" t="s">
        <v>89</v>
      </c>
      <c r="D26" t="s">
        <v>3</v>
      </c>
      <c r="E26" t="s">
        <v>129</v>
      </c>
      <c r="F26" t="s">
        <v>130</v>
      </c>
      <c r="G26" t="s">
        <v>6</v>
      </c>
      <c r="H26" t="s">
        <v>92</v>
      </c>
      <c r="J26">
        <v>48.776732469999999</v>
      </c>
      <c r="K26">
        <v>10.70031679</v>
      </c>
      <c r="L26" t="s">
        <v>4</v>
      </c>
      <c r="M26">
        <v>0.44225867600000002</v>
      </c>
      <c r="N26">
        <v>0.44225867600000002</v>
      </c>
      <c r="O26">
        <v>0.38697634199999997</v>
      </c>
      <c r="P26">
        <v>0.41949536199999998</v>
      </c>
      <c r="Q26">
        <v>0.38372444</v>
      </c>
      <c r="R26">
        <v>0.35120541900000002</v>
      </c>
      <c r="S26">
        <v>0.35120541900000002</v>
      </c>
    </row>
    <row r="27" spans="1:19" x14ac:dyDescent="0.25">
      <c r="A27" t="s">
        <v>2</v>
      </c>
      <c r="B27" t="s">
        <v>88</v>
      </c>
      <c r="C27" t="s">
        <v>89</v>
      </c>
      <c r="D27" t="s">
        <v>3</v>
      </c>
      <c r="E27" t="s">
        <v>131</v>
      </c>
      <c r="F27" t="s">
        <v>132</v>
      </c>
      <c r="G27" t="s">
        <v>6</v>
      </c>
      <c r="H27" t="s">
        <v>92</v>
      </c>
      <c r="J27">
        <v>52.489069260000001</v>
      </c>
      <c r="K27">
        <v>13.836929169999999</v>
      </c>
      <c r="L27" t="s">
        <v>4</v>
      </c>
      <c r="M27">
        <v>0.96694575999999999</v>
      </c>
      <c r="N27">
        <v>0.96694575999999999</v>
      </c>
      <c r="O27">
        <v>0.84607754000000002</v>
      </c>
      <c r="P27">
        <v>0.91717649300000004</v>
      </c>
      <c r="Q27">
        <v>0.83896764499999998</v>
      </c>
      <c r="R27">
        <v>0.76786869199999996</v>
      </c>
      <c r="S27">
        <v>0.76786869199999996</v>
      </c>
    </row>
    <row r="28" spans="1:19" x14ac:dyDescent="0.25">
      <c r="A28" t="s">
        <v>2</v>
      </c>
      <c r="B28" t="s">
        <v>88</v>
      </c>
      <c r="C28" t="s">
        <v>89</v>
      </c>
      <c r="D28" t="s">
        <v>3</v>
      </c>
      <c r="E28" t="s">
        <v>133</v>
      </c>
      <c r="F28" t="s">
        <v>134</v>
      </c>
      <c r="G28" t="s">
        <v>6</v>
      </c>
      <c r="H28" t="s">
        <v>92</v>
      </c>
      <c r="J28">
        <v>51.816375209999997</v>
      </c>
      <c r="K28">
        <v>11.7496466</v>
      </c>
      <c r="L28" t="s">
        <v>4</v>
      </c>
      <c r="M28">
        <v>0.50412187399999997</v>
      </c>
      <c r="N28">
        <v>0.50412187399999997</v>
      </c>
      <c r="O28">
        <v>0.44110663999999999</v>
      </c>
      <c r="P28">
        <v>0.47817442500000001</v>
      </c>
      <c r="Q28">
        <v>0.437399861</v>
      </c>
      <c r="R28">
        <v>0.40033207599999998</v>
      </c>
      <c r="S28">
        <v>0.40033207599999998</v>
      </c>
    </row>
    <row r="29" spans="1:19" x14ac:dyDescent="0.25">
      <c r="A29" t="s">
        <v>2</v>
      </c>
      <c r="B29" t="s">
        <v>88</v>
      </c>
      <c r="C29" t="s">
        <v>89</v>
      </c>
      <c r="D29" t="s">
        <v>3</v>
      </c>
      <c r="E29" t="s">
        <v>135</v>
      </c>
      <c r="F29" t="s">
        <v>136</v>
      </c>
      <c r="G29" t="s">
        <v>6</v>
      </c>
      <c r="H29" t="s">
        <v>92</v>
      </c>
      <c r="J29">
        <v>51.271111779999998</v>
      </c>
      <c r="K29">
        <v>11.654702629999999</v>
      </c>
      <c r="L29" t="s">
        <v>4</v>
      </c>
      <c r="M29">
        <v>0.69072057200000003</v>
      </c>
      <c r="N29">
        <v>0.69072057200000003</v>
      </c>
      <c r="O29">
        <v>0.60438050099999996</v>
      </c>
      <c r="P29">
        <v>0.65516877799999995</v>
      </c>
      <c r="Q29">
        <v>0.59930167300000003</v>
      </c>
      <c r="R29">
        <v>0.54851339600000004</v>
      </c>
      <c r="S29">
        <v>0.54851339600000004</v>
      </c>
    </row>
    <row r="30" spans="1:19" x14ac:dyDescent="0.25">
      <c r="A30" t="s">
        <v>2</v>
      </c>
      <c r="B30" t="s">
        <v>88</v>
      </c>
      <c r="C30" t="s">
        <v>89</v>
      </c>
      <c r="D30" t="s">
        <v>3</v>
      </c>
      <c r="E30" t="s">
        <v>137</v>
      </c>
      <c r="F30" t="s">
        <v>138</v>
      </c>
      <c r="G30" t="s">
        <v>6</v>
      </c>
      <c r="H30" t="s">
        <v>92</v>
      </c>
      <c r="J30">
        <v>51.362759730000001</v>
      </c>
      <c r="K30">
        <v>10.483568269999999</v>
      </c>
      <c r="L30" t="s">
        <v>4</v>
      </c>
      <c r="M30">
        <v>0.78788028099999996</v>
      </c>
      <c r="N30">
        <v>0.78788028099999996</v>
      </c>
      <c r="O30">
        <v>0.68939524600000002</v>
      </c>
      <c r="P30">
        <v>0.74732761999999997</v>
      </c>
      <c r="Q30">
        <v>0.68360200900000001</v>
      </c>
      <c r="R30">
        <v>0.62566963499999995</v>
      </c>
      <c r="S30">
        <v>0.62566963499999995</v>
      </c>
    </row>
    <row r="31" spans="1:19" x14ac:dyDescent="0.25">
      <c r="A31" t="s">
        <v>2</v>
      </c>
      <c r="B31" t="s">
        <v>88</v>
      </c>
      <c r="C31" t="s">
        <v>89</v>
      </c>
      <c r="D31" t="s">
        <v>3</v>
      </c>
      <c r="E31" t="s">
        <v>105</v>
      </c>
      <c r="F31" t="s">
        <v>106</v>
      </c>
      <c r="G31" t="s">
        <v>6</v>
      </c>
      <c r="H31" t="s">
        <v>92</v>
      </c>
      <c r="J31">
        <v>51.760245959999999</v>
      </c>
      <c r="K31">
        <v>8.0731712420000008</v>
      </c>
      <c r="L31" t="s">
        <v>4</v>
      </c>
      <c r="M31">
        <v>0.213463614</v>
      </c>
      <c r="N31">
        <v>0.213463614</v>
      </c>
      <c r="O31">
        <v>0.18678066199999999</v>
      </c>
      <c r="P31">
        <v>0.202476516</v>
      </c>
      <c r="Q31">
        <v>0.185211076</v>
      </c>
      <c r="R31">
        <v>0.16951522299999999</v>
      </c>
      <c r="S31">
        <v>0.16951522299999999</v>
      </c>
    </row>
    <row r="32" spans="1:19" x14ac:dyDescent="0.25">
      <c r="A32" t="s">
        <v>2</v>
      </c>
      <c r="B32" t="s">
        <v>88</v>
      </c>
      <c r="C32" t="s">
        <v>89</v>
      </c>
      <c r="D32" t="s">
        <v>3</v>
      </c>
      <c r="E32" t="s">
        <v>115</v>
      </c>
      <c r="F32" t="s">
        <v>116</v>
      </c>
      <c r="G32" t="s">
        <v>139</v>
      </c>
      <c r="H32" t="s">
        <v>92</v>
      </c>
      <c r="J32">
        <v>50.584319999999998</v>
      </c>
      <c r="K32">
        <v>9.5092449999999999</v>
      </c>
      <c r="L32" t="s">
        <v>4</v>
      </c>
      <c r="M32">
        <v>3.3370271E-2</v>
      </c>
      <c r="N32">
        <v>2.5954655E-2</v>
      </c>
      <c r="O32">
        <v>3.1145585999999999E-2</v>
      </c>
      <c r="P32">
        <v>2.5954655E-2</v>
      </c>
      <c r="Q32">
        <v>2.3729970999999999E-2</v>
      </c>
      <c r="R32">
        <v>2.2246847E-2</v>
      </c>
      <c r="S32">
        <v>2.2246847E-2</v>
      </c>
    </row>
    <row r="33" spans="1:19" x14ac:dyDescent="0.25">
      <c r="A33" t="s">
        <v>2</v>
      </c>
      <c r="B33" t="s">
        <v>88</v>
      </c>
      <c r="C33" t="s">
        <v>89</v>
      </c>
      <c r="D33" t="s">
        <v>3</v>
      </c>
      <c r="E33" t="s">
        <v>140</v>
      </c>
      <c r="F33" t="s">
        <v>141</v>
      </c>
      <c r="G33" t="s">
        <v>139</v>
      </c>
      <c r="H33" t="s">
        <v>92</v>
      </c>
      <c r="J33">
        <v>50.808852000000002</v>
      </c>
      <c r="K33">
        <v>12.09295</v>
      </c>
      <c r="L33" t="s">
        <v>4</v>
      </c>
      <c r="M33">
        <v>5.3444485999999999E-2</v>
      </c>
      <c r="N33">
        <v>4.1567934000000001E-2</v>
      </c>
      <c r="O33">
        <v>4.9881519999999999E-2</v>
      </c>
      <c r="P33">
        <v>4.1567934000000001E-2</v>
      </c>
      <c r="Q33">
        <v>3.8004968E-2</v>
      </c>
      <c r="R33">
        <v>3.5629657000000002E-2</v>
      </c>
      <c r="S33">
        <v>3.5629657000000002E-2</v>
      </c>
    </row>
    <row r="34" spans="1:19" x14ac:dyDescent="0.25">
      <c r="A34" t="s">
        <v>2</v>
      </c>
      <c r="B34" t="s">
        <v>88</v>
      </c>
      <c r="C34" t="s">
        <v>89</v>
      </c>
      <c r="D34" t="s">
        <v>3</v>
      </c>
      <c r="E34" t="s">
        <v>142</v>
      </c>
      <c r="F34" t="s">
        <v>143</v>
      </c>
      <c r="G34" t="s">
        <v>139</v>
      </c>
      <c r="H34" t="s">
        <v>92</v>
      </c>
      <c r="J34">
        <v>51.647706999999997</v>
      </c>
      <c r="K34">
        <v>10.087452000000001</v>
      </c>
      <c r="L34" t="s">
        <v>4</v>
      </c>
      <c r="M34">
        <v>2.4607026000000001E-2</v>
      </c>
      <c r="N34">
        <v>1.9138797999999999E-2</v>
      </c>
      <c r="O34">
        <v>2.2966558000000001E-2</v>
      </c>
      <c r="P34">
        <v>1.9138797999999999E-2</v>
      </c>
      <c r="Q34">
        <v>1.7498329999999999E-2</v>
      </c>
      <c r="R34">
        <v>1.6404683999999999E-2</v>
      </c>
      <c r="S34">
        <v>1.6404683999999999E-2</v>
      </c>
    </row>
    <row r="35" spans="1:19" x14ac:dyDescent="0.25">
      <c r="A35" t="s">
        <v>2</v>
      </c>
      <c r="B35" t="s">
        <v>88</v>
      </c>
      <c r="C35" t="s">
        <v>89</v>
      </c>
      <c r="D35" t="s">
        <v>3</v>
      </c>
      <c r="E35" t="s">
        <v>131</v>
      </c>
      <c r="F35" t="s">
        <v>132</v>
      </c>
      <c r="G35" t="s">
        <v>139</v>
      </c>
      <c r="H35" t="s">
        <v>92</v>
      </c>
      <c r="J35">
        <v>52.490088</v>
      </c>
      <c r="K35">
        <v>13.838051</v>
      </c>
      <c r="L35" t="s">
        <v>4</v>
      </c>
      <c r="M35">
        <v>9.4549258999999997E-2</v>
      </c>
      <c r="N35">
        <v>7.3538312999999994E-2</v>
      </c>
      <c r="O35">
        <v>8.8245976000000004E-2</v>
      </c>
      <c r="P35">
        <v>7.3538312999999994E-2</v>
      </c>
      <c r="Q35">
        <v>6.7235029000000002E-2</v>
      </c>
      <c r="R35">
        <v>6.3032840000000007E-2</v>
      </c>
      <c r="S35">
        <v>6.3032840000000007E-2</v>
      </c>
    </row>
    <row r="36" spans="1:19" x14ac:dyDescent="0.25">
      <c r="A36" t="s">
        <v>2</v>
      </c>
      <c r="B36" t="s">
        <v>88</v>
      </c>
      <c r="C36" t="s">
        <v>89</v>
      </c>
      <c r="D36" t="s">
        <v>3</v>
      </c>
      <c r="E36" t="s">
        <v>144</v>
      </c>
      <c r="F36" t="s">
        <v>145</v>
      </c>
      <c r="G36" t="s">
        <v>139</v>
      </c>
      <c r="H36" t="s">
        <v>92</v>
      </c>
      <c r="J36">
        <v>51.844586</v>
      </c>
      <c r="K36">
        <v>10.18979</v>
      </c>
      <c r="L36" t="s">
        <v>4</v>
      </c>
      <c r="M36">
        <v>0.153462079</v>
      </c>
      <c r="N36">
        <v>0.11935939499999999</v>
      </c>
      <c r="O36">
        <v>0.14323127399999999</v>
      </c>
      <c r="P36">
        <v>0.11935939499999999</v>
      </c>
      <c r="Q36">
        <v>0.109128589</v>
      </c>
      <c r="R36">
        <v>0.102308053</v>
      </c>
      <c r="S36">
        <v>0.102308053</v>
      </c>
    </row>
    <row r="37" spans="1:19" x14ac:dyDescent="0.25">
      <c r="A37" t="s">
        <v>2</v>
      </c>
      <c r="B37" t="s">
        <v>88</v>
      </c>
      <c r="C37" t="s">
        <v>89</v>
      </c>
      <c r="D37" t="s">
        <v>3</v>
      </c>
      <c r="E37" t="s">
        <v>146</v>
      </c>
      <c r="F37" t="s">
        <v>147</v>
      </c>
      <c r="G37" t="s">
        <v>139</v>
      </c>
      <c r="H37" t="s">
        <v>92</v>
      </c>
      <c r="J37">
        <v>48.890949999999997</v>
      </c>
      <c r="K37">
        <v>11.932119999999999</v>
      </c>
      <c r="L37" t="s">
        <v>4</v>
      </c>
      <c r="M37">
        <v>0.14012201499999999</v>
      </c>
      <c r="N37">
        <v>0.108983789</v>
      </c>
      <c r="O37">
        <v>0.130780547</v>
      </c>
      <c r="P37">
        <v>0.108983789</v>
      </c>
      <c r="Q37">
        <v>9.9642322000000005E-2</v>
      </c>
      <c r="R37">
        <v>9.3414677000000002E-2</v>
      </c>
      <c r="S37">
        <v>9.3414677000000002E-2</v>
      </c>
    </row>
    <row r="38" spans="1:19" x14ac:dyDescent="0.25">
      <c r="A38" t="s">
        <v>2</v>
      </c>
      <c r="B38" t="s">
        <v>88</v>
      </c>
      <c r="C38" t="s">
        <v>89</v>
      </c>
      <c r="D38" t="s">
        <v>3</v>
      </c>
      <c r="E38" t="s">
        <v>148</v>
      </c>
      <c r="F38" t="s">
        <v>149</v>
      </c>
      <c r="G38" t="s">
        <v>139</v>
      </c>
      <c r="H38" t="s">
        <v>92</v>
      </c>
      <c r="J38">
        <v>51.247683000000002</v>
      </c>
      <c r="K38">
        <v>7.0445830000000003</v>
      </c>
      <c r="L38" t="s">
        <v>4</v>
      </c>
      <c r="M38">
        <v>0.11501481299999999</v>
      </c>
      <c r="N38">
        <v>8.9455965999999998E-2</v>
      </c>
      <c r="O38">
        <v>0.107347159</v>
      </c>
      <c r="P38">
        <v>8.9455965999999998E-2</v>
      </c>
      <c r="Q38">
        <v>8.1788312000000002E-2</v>
      </c>
      <c r="R38">
        <v>7.6676542E-2</v>
      </c>
      <c r="S38">
        <v>7.6676542E-2</v>
      </c>
    </row>
    <row r="39" spans="1:19" x14ac:dyDescent="0.25">
      <c r="A39" t="s">
        <v>2</v>
      </c>
      <c r="B39" t="s">
        <v>88</v>
      </c>
      <c r="C39" t="s">
        <v>89</v>
      </c>
      <c r="D39" t="s">
        <v>3</v>
      </c>
      <c r="E39" t="s">
        <v>150</v>
      </c>
      <c r="F39" t="s">
        <v>151</v>
      </c>
      <c r="G39" t="s">
        <v>139</v>
      </c>
      <c r="H39" t="s">
        <v>92</v>
      </c>
      <c r="J39">
        <v>51.755471</v>
      </c>
      <c r="K39">
        <v>10.825817000000001</v>
      </c>
      <c r="L39" t="s">
        <v>4</v>
      </c>
      <c r="M39">
        <v>0.388301813</v>
      </c>
      <c r="N39">
        <v>0.30201252200000001</v>
      </c>
      <c r="O39">
        <v>0.36241502599999997</v>
      </c>
      <c r="P39">
        <v>0.30201252200000001</v>
      </c>
      <c r="Q39">
        <v>0.27612573400000001</v>
      </c>
      <c r="R39">
        <v>0.258867876</v>
      </c>
      <c r="S39">
        <v>0.258867876</v>
      </c>
    </row>
    <row r="40" spans="1:19" x14ac:dyDescent="0.25">
      <c r="A40" t="s">
        <v>2</v>
      </c>
      <c r="B40" t="s">
        <v>88</v>
      </c>
      <c r="C40" t="s">
        <v>89</v>
      </c>
      <c r="D40" t="s">
        <v>3</v>
      </c>
      <c r="E40" t="s">
        <v>152</v>
      </c>
      <c r="F40" t="s">
        <v>153</v>
      </c>
      <c r="G40" t="s">
        <v>139</v>
      </c>
      <c r="H40" t="s">
        <v>92</v>
      </c>
      <c r="J40">
        <v>47.658802999999999</v>
      </c>
      <c r="K40">
        <v>7.5460190000000003</v>
      </c>
      <c r="L40" t="s">
        <v>4</v>
      </c>
      <c r="M40">
        <v>8.5133941000000005E-2</v>
      </c>
      <c r="N40">
        <v>6.6215286999999998E-2</v>
      </c>
      <c r="O40">
        <v>7.9458345E-2</v>
      </c>
      <c r="P40">
        <v>6.6215286999999998E-2</v>
      </c>
      <c r="Q40">
        <v>6.0539691E-2</v>
      </c>
      <c r="R40">
        <v>5.6755960000000001E-2</v>
      </c>
      <c r="S40">
        <v>5.6755960000000001E-2</v>
      </c>
    </row>
    <row r="41" spans="1:19" x14ac:dyDescent="0.25">
      <c r="A41" t="s">
        <v>2</v>
      </c>
      <c r="B41" t="s">
        <v>88</v>
      </c>
      <c r="C41" t="s">
        <v>89</v>
      </c>
      <c r="D41" t="s">
        <v>3</v>
      </c>
      <c r="E41" t="s">
        <v>146</v>
      </c>
      <c r="F41" t="s">
        <v>147</v>
      </c>
      <c r="G41" t="s">
        <v>139</v>
      </c>
      <c r="H41" t="s">
        <v>92</v>
      </c>
      <c r="J41">
        <v>49.008715000000002</v>
      </c>
      <c r="K41">
        <v>11.824687000000001</v>
      </c>
      <c r="L41" t="s">
        <v>4</v>
      </c>
      <c r="M41">
        <v>0.14012201499999999</v>
      </c>
      <c r="N41">
        <v>0.108983789</v>
      </c>
      <c r="O41">
        <v>0.130780547</v>
      </c>
      <c r="P41">
        <v>0.108983789</v>
      </c>
      <c r="Q41">
        <v>9.9642322000000005E-2</v>
      </c>
      <c r="R41">
        <v>9.3414677000000002E-2</v>
      </c>
      <c r="S41">
        <v>9.3414677000000002E-2</v>
      </c>
    </row>
    <row r="42" spans="1:19" x14ac:dyDescent="0.25">
      <c r="A42" t="s">
        <v>2</v>
      </c>
      <c r="B42" t="s">
        <v>88</v>
      </c>
      <c r="C42" t="s">
        <v>89</v>
      </c>
      <c r="D42" t="s">
        <v>3</v>
      </c>
      <c r="E42" t="s">
        <v>154</v>
      </c>
      <c r="F42" t="s">
        <v>155</v>
      </c>
      <c r="G42" t="s">
        <v>139</v>
      </c>
      <c r="H42" t="s">
        <v>92</v>
      </c>
      <c r="J42">
        <v>51.140329999999999</v>
      </c>
      <c r="K42">
        <v>8.025404</v>
      </c>
      <c r="L42" t="s">
        <v>4</v>
      </c>
      <c r="M42">
        <v>2.4596616000000002E-2</v>
      </c>
      <c r="N42">
        <v>1.9130701E-2</v>
      </c>
      <c r="O42">
        <v>2.2956840999999999E-2</v>
      </c>
      <c r="P42">
        <v>1.9130701E-2</v>
      </c>
      <c r="Q42">
        <v>1.7490927E-2</v>
      </c>
      <c r="R42">
        <v>1.6397743999999999E-2</v>
      </c>
      <c r="S42">
        <v>1.6397743999999999E-2</v>
      </c>
    </row>
    <row r="43" spans="1:19" x14ac:dyDescent="0.25">
      <c r="A43" t="s">
        <v>2</v>
      </c>
      <c r="B43" t="s">
        <v>88</v>
      </c>
      <c r="C43" t="s">
        <v>89</v>
      </c>
      <c r="D43" t="s">
        <v>3</v>
      </c>
      <c r="E43" t="s">
        <v>156</v>
      </c>
      <c r="F43" t="s">
        <v>157</v>
      </c>
      <c r="G43" t="s">
        <v>139</v>
      </c>
      <c r="H43" t="s">
        <v>92</v>
      </c>
      <c r="J43">
        <v>50.419099000000003</v>
      </c>
      <c r="K43">
        <v>8.1118000000000006</v>
      </c>
      <c r="L43" t="s">
        <v>4</v>
      </c>
      <c r="M43">
        <v>0.13685265599999999</v>
      </c>
      <c r="N43">
        <v>0.106440954</v>
      </c>
      <c r="O43">
        <v>0.12772914499999999</v>
      </c>
      <c r="P43">
        <v>0.106440954</v>
      </c>
      <c r="Q43">
        <v>9.7317444000000003E-2</v>
      </c>
      <c r="R43">
        <v>9.1235103999999997E-2</v>
      </c>
      <c r="S43">
        <v>9.1235103999999997E-2</v>
      </c>
    </row>
    <row r="44" spans="1:19" x14ac:dyDescent="0.25">
      <c r="A44" t="s">
        <v>2</v>
      </c>
      <c r="B44" t="s">
        <v>88</v>
      </c>
      <c r="C44" t="s">
        <v>89</v>
      </c>
      <c r="D44" t="s">
        <v>3</v>
      </c>
      <c r="E44" t="s">
        <v>158</v>
      </c>
      <c r="F44" t="s">
        <v>159</v>
      </c>
      <c r="G44" t="s">
        <v>139</v>
      </c>
      <c r="H44" t="s">
        <v>92</v>
      </c>
      <c r="J44">
        <v>50.317605</v>
      </c>
      <c r="K44">
        <v>8.0657010000000007</v>
      </c>
      <c r="L44" t="s">
        <v>4</v>
      </c>
      <c r="M44">
        <v>0.14754278300000001</v>
      </c>
      <c r="N44">
        <v>0.114755498</v>
      </c>
      <c r="O44">
        <v>0.13770659800000001</v>
      </c>
      <c r="P44">
        <v>0.114755498</v>
      </c>
      <c r="Q44">
        <v>0.104919313</v>
      </c>
      <c r="R44">
        <v>9.8361855999999998E-2</v>
      </c>
      <c r="S44">
        <v>9.8361855999999998E-2</v>
      </c>
    </row>
    <row r="45" spans="1:19" x14ac:dyDescent="0.25">
      <c r="A45" t="s">
        <v>2</v>
      </c>
      <c r="B45" t="s">
        <v>88</v>
      </c>
      <c r="C45" t="s">
        <v>89</v>
      </c>
      <c r="D45" t="s">
        <v>3</v>
      </c>
      <c r="E45" t="s">
        <v>111</v>
      </c>
      <c r="F45" t="s">
        <v>112</v>
      </c>
      <c r="G45" t="s">
        <v>139</v>
      </c>
      <c r="H45" t="s">
        <v>92</v>
      </c>
      <c r="J45">
        <v>51.436858999999998</v>
      </c>
      <c r="K45">
        <v>8.3738720000000004</v>
      </c>
      <c r="L45" t="s">
        <v>4</v>
      </c>
      <c r="M45">
        <v>6.9950278000000005E-2</v>
      </c>
      <c r="N45">
        <v>5.4405771999999998E-2</v>
      </c>
      <c r="O45">
        <v>6.5286925999999995E-2</v>
      </c>
      <c r="P45">
        <v>5.4405771999999998E-2</v>
      </c>
      <c r="Q45">
        <v>4.9742420000000002E-2</v>
      </c>
      <c r="R45">
        <v>4.6633518999999998E-2</v>
      </c>
      <c r="S45">
        <v>4.6633518999999998E-2</v>
      </c>
    </row>
    <row r="46" spans="1:19" x14ac:dyDescent="0.25">
      <c r="A46" t="s">
        <v>2</v>
      </c>
      <c r="B46" t="s">
        <v>88</v>
      </c>
      <c r="C46" t="s">
        <v>89</v>
      </c>
      <c r="D46" t="s">
        <v>3</v>
      </c>
      <c r="E46" t="s">
        <v>160</v>
      </c>
      <c r="F46" t="s">
        <v>161</v>
      </c>
      <c r="G46" t="s">
        <v>139</v>
      </c>
      <c r="H46" t="s">
        <v>92</v>
      </c>
      <c r="J46">
        <v>49.029909000000004</v>
      </c>
      <c r="K46">
        <v>12.1388</v>
      </c>
      <c r="L46" t="s">
        <v>4</v>
      </c>
      <c r="M46">
        <v>7.8780244999999999E-2</v>
      </c>
      <c r="N46">
        <v>6.1273524000000003E-2</v>
      </c>
      <c r="O46">
        <v>7.3528228000000001E-2</v>
      </c>
      <c r="P46">
        <v>6.1273524000000003E-2</v>
      </c>
      <c r="Q46">
        <v>5.6021506999999998E-2</v>
      </c>
      <c r="R46">
        <v>5.2520163000000002E-2</v>
      </c>
      <c r="S46">
        <v>5.2520163000000002E-2</v>
      </c>
    </row>
    <row r="47" spans="1:19" x14ac:dyDescent="0.25">
      <c r="A47" t="s">
        <v>2</v>
      </c>
      <c r="B47" t="s">
        <v>88</v>
      </c>
      <c r="C47" t="s">
        <v>89</v>
      </c>
      <c r="D47" t="s">
        <v>3</v>
      </c>
      <c r="E47" t="s">
        <v>117</v>
      </c>
      <c r="F47" t="s">
        <v>118</v>
      </c>
      <c r="G47" t="s">
        <v>139</v>
      </c>
      <c r="H47" t="s">
        <v>92</v>
      </c>
      <c r="J47">
        <v>50.334173999999997</v>
      </c>
      <c r="K47">
        <v>6.7668109999999997</v>
      </c>
      <c r="L47" t="s">
        <v>4</v>
      </c>
      <c r="M47">
        <v>2.570391E-2</v>
      </c>
      <c r="N47">
        <v>1.9991930000000002E-2</v>
      </c>
      <c r="O47">
        <v>2.3990316000000001E-2</v>
      </c>
      <c r="P47">
        <v>1.9991930000000002E-2</v>
      </c>
      <c r="Q47">
        <v>1.8278335999999999E-2</v>
      </c>
      <c r="R47">
        <v>1.7135939999999999E-2</v>
      </c>
      <c r="S47">
        <v>1.7135939999999999E-2</v>
      </c>
    </row>
    <row r="48" spans="1:19" x14ac:dyDescent="0.25">
      <c r="A48" t="s">
        <v>2</v>
      </c>
      <c r="B48" t="s">
        <v>88</v>
      </c>
      <c r="C48" t="s">
        <v>89</v>
      </c>
      <c r="D48" t="s">
        <v>3</v>
      </c>
      <c r="E48" t="s">
        <v>162</v>
      </c>
      <c r="F48" t="s">
        <v>163</v>
      </c>
      <c r="G48" t="s">
        <v>139</v>
      </c>
      <c r="H48" t="s">
        <v>92</v>
      </c>
      <c r="J48">
        <v>52.040866999999999</v>
      </c>
      <c r="K48">
        <v>8.3994090000000003</v>
      </c>
      <c r="L48" t="s">
        <v>4</v>
      </c>
      <c r="M48">
        <v>4.4982670000000002E-3</v>
      </c>
      <c r="N48">
        <v>3.4986520000000001E-3</v>
      </c>
      <c r="O48">
        <v>4.198383E-3</v>
      </c>
      <c r="P48">
        <v>3.4986520000000001E-3</v>
      </c>
      <c r="Q48">
        <v>3.1987679999999998E-3</v>
      </c>
      <c r="R48">
        <v>2.998845E-3</v>
      </c>
      <c r="S48">
        <v>2.998845E-3</v>
      </c>
    </row>
    <row r="49" spans="1:19" x14ac:dyDescent="0.25">
      <c r="A49" t="s">
        <v>2</v>
      </c>
      <c r="B49" t="s">
        <v>88</v>
      </c>
      <c r="C49" t="s">
        <v>89</v>
      </c>
      <c r="D49" t="s">
        <v>3</v>
      </c>
      <c r="E49" t="s">
        <v>117</v>
      </c>
      <c r="F49" t="s">
        <v>118</v>
      </c>
      <c r="G49" t="s">
        <v>139</v>
      </c>
      <c r="H49" t="s">
        <v>92</v>
      </c>
      <c r="J49">
        <v>50.230564000000001</v>
      </c>
      <c r="K49">
        <v>6.6829239999999999</v>
      </c>
      <c r="L49" t="s">
        <v>4</v>
      </c>
      <c r="M49">
        <v>1.29658E-4</v>
      </c>
      <c r="N49">
        <v>1.00845E-4</v>
      </c>
      <c r="O49">
        <v>1.21014E-4</v>
      </c>
      <c r="P49">
        <v>1.00845E-4</v>
      </c>
      <c r="Q49" s="100">
        <v>9.2200999999999994E-5</v>
      </c>
      <c r="R49" s="100">
        <v>8.6438400000000002E-5</v>
      </c>
      <c r="S49" s="100">
        <v>8.6438400000000002E-5</v>
      </c>
    </row>
    <row r="50" spans="1:19" x14ac:dyDescent="0.25">
      <c r="A50" t="s">
        <v>2</v>
      </c>
      <c r="B50" t="s">
        <v>88</v>
      </c>
      <c r="C50" t="s">
        <v>89</v>
      </c>
      <c r="D50" t="s">
        <v>3</v>
      </c>
      <c r="E50" t="s">
        <v>164</v>
      </c>
      <c r="F50" t="s">
        <v>165</v>
      </c>
      <c r="G50" t="s">
        <v>139</v>
      </c>
      <c r="H50" t="s">
        <v>92</v>
      </c>
      <c r="J50">
        <v>51.296801000000002</v>
      </c>
      <c r="K50">
        <v>7.0149359999999996</v>
      </c>
      <c r="L50" t="s">
        <v>4</v>
      </c>
      <c r="M50">
        <v>0.91869605899999995</v>
      </c>
      <c r="N50">
        <v>0.71454137900000003</v>
      </c>
      <c r="O50">
        <v>0.85744965500000003</v>
      </c>
      <c r="P50">
        <v>0.71454137900000003</v>
      </c>
      <c r="Q50">
        <v>0.653294975</v>
      </c>
      <c r="R50">
        <v>0.61246403900000002</v>
      </c>
      <c r="S50">
        <v>0.61246403900000002</v>
      </c>
    </row>
    <row r="51" spans="1:19" x14ac:dyDescent="0.25">
      <c r="A51" t="s">
        <v>2</v>
      </c>
      <c r="B51" t="s">
        <v>88</v>
      </c>
      <c r="C51" t="s">
        <v>89</v>
      </c>
      <c r="D51" t="s">
        <v>3</v>
      </c>
      <c r="E51" t="s">
        <v>166</v>
      </c>
      <c r="F51" t="s">
        <v>167</v>
      </c>
      <c r="G51" t="s">
        <v>139</v>
      </c>
      <c r="H51" t="s">
        <v>92</v>
      </c>
      <c r="J51">
        <v>51.394948999999997</v>
      </c>
      <c r="K51">
        <v>8.6849950000000007</v>
      </c>
      <c r="L51" t="s">
        <v>4</v>
      </c>
      <c r="M51">
        <v>3.2763151999999997E-2</v>
      </c>
      <c r="N51">
        <v>2.5482451E-2</v>
      </c>
      <c r="O51">
        <v>3.0578942000000001E-2</v>
      </c>
      <c r="P51">
        <v>2.5482451E-2</v>
      </c>
      <c r="Q51">
        <v>2.3298241000000001E-2</v>
      </c>
      <c r="R51">
        <v>2.1842100999999999E-2</v>
      </c>
      <c r="S51">
        <v>2.1842100999999999E-2</v>
      </c>
    </row>
    <row r="52" spans="1:19" x14ac:dyDescent="0.25">
      <c r="A52" t="s">
        <v>2</v>
      </c>
      <c r="B52" t="s">
        <v>88</v>
      </c>
      <c r="C52" t="s">
        <v>89</v>
      </c>
      <c r="D52" t="s">
        <v>3</v>
      </c>
      <c r="E52" t="s">
        <v>168</v>
      </c>
      <c r="F52" t="s">
        <v>169</v>
      </c>
      <c r="G52" t="s">
        <v>139</v>
      </c>
      <c r="H52" t="s">
        <v>92</v>
      </c>
      <c r="J52">
        <v>51.397084999999997</v>
      </c>
      <c r="K52">
        <v>7.8406979999999997</v>
      </c>
      <c r="L52" t="s">
        <v>4</v>
      </c>
      <c r="M52">
        <v>0.39661315000000003</v>
      </c>
      <c r="N52">
        <v>0.308476894</v>
      </c>
      <c r="O52">
        <v>0.370172273</v>
      </c>
      <c r="P52">
        <v>0.308476894</v>
      </c>
      <c r="Q52">
        <v>0.282036018</v>
      </c>
      <c r="R52">
        <v>0.26440876699999999</v>
      </c>
      <c r="S52">
        <v>0.26440876699999999</v>
      </c>
    </row>
    <row r="53" spans="1:19" x14ac:dyDescent="0.25">
      <c r="A53" t="s">
        <v>2</v>
      </c>
      <c r="B53" t="s">
        <v>88</v>
      </c>
      <c r="C53" t="s">
        <v>89</v>
      </c>
      <c r="D53" t="s">
        <v>3</v>
      </c>
      <c r="E53" t="s">
        <v>170</v>
      </c>
      <c r="F53" t="s">
        <v>171</v>
      </c>
      <c r="G53" t="s">
        <v>139</v>
      </c>
      <c r="H53" t="s">
        <v>92</v>
      </c>
      <c r="J53">
        <v>52.059196999999998</v>
      </c>
      <c r="K53">
        <v>9.5886659999999999</v>
      </c>
      <c r="L53" t="s">
        <v>4</v>
      </c>
      <c r="M53">
        <v>4.9156319999999996E-3</v>
      </c>
      <c r="N53">
        <v>3.8232689999999998E-3</v>
      </c>
      <c r="O53">
        <v>4.5879229999999998E-3</v>
      </c>
      <c r="P53">
        <v>3.8232689999999998E-3</v>
      </c>
      <c r="Q53">
        <v>3.4955609999999999E-3</v>
      </c>
      <c r="R53">
        <v>3.277088E-3</v>
      </c>
      <c r="S53">
        <v>3.277088E-3</v>
      </c>
    </row>
    <row r="54" spans="1:19" x14ac:dyDescent="0.25">
      <c r="A54" t="s">
        <v>2</v>
      </c>
      <c r="B54" t="s">
        <v>88</v>
      </c>
      <c r="C54" t="s">
        <v>89</v>
      </c>
      <c r="D54" t="s">
        <v>3</v>
      </c>
      <c r="E54" t="s">
        <v>107</v>
      </c>
      <c r="F54" t="s">
        <v>108</v>
      </c>
      <c r="G54" t="s">
        <v>139</v>
      </c>
      <c r="H54" t="s">
        <v>92</v>
      </c>
      <c r="J54">
        <v>52.264046999999998</v>
      </c>
      <c r="K54">
        <v>7.3968769999999999</v>
      </c>
      <c r="L54" t="s">
        <v>4</v>
      </c>
      <c r="M54">
        <v>1.1933704999999999E-2</v>
      </c>
      <c r="N54">
        <v>9.28177E-3</v>
      </c>
      <c r="O54">
        <v>1.1138125E-2</v>
      </c>
      <c r="P54">
        <v>9.28177E-3</v>
      </c>
      <c r="Q54">
        <v>8.4861899999999994E-3</v>
      </c>
      <c r="R54">
        <v>7.9558029999999991E-3</v>
      </c>
      <c r="S54">
        <v>7.9558029999999991E-3</v>
      </c>
    </row>
    <row r="55" spans="1:19" x14ac:dyDescent="0.25">
      <c r="A55" t="s">
        <v>2</v>
      </c>
      <c r="B55" t="s">
        <v>88</v>
      </c>
      <c r="C55" t="s">
        <v>89</v>
      </c>
      <c r="D55" t="s">
        <v>3</v>
      </c>
      <c r="E55" t="s">
        <v>129</v>
      </c>
      <c r="F55" t="s">
        <v>130</v>
      </c>
      <c r="G55" t="s">
        <v>139</v>
      </c>
      <c r="H55" t="s">
        <v>92</v>
      </c>
      <c r="J55">
        <v>48.775784999999999</v>
      </c>
      <c r="K55">
        <v>10.699441999999999</v>
      </c>
      <c r="L55" t="s">
        <v>4</v>
      </c>
      <c r="M55">
        <v>7.941339E-2</v>
      </c>
      <c r="N55">
        <v>6.1765970000000003E-2</v>
      </c>
      <c r="O55">
        <v>7.4119164000000001E-2</v>
      </c>
      <c r="P55">
        <v>6.1765970000000003E-2</v>
      </c>
      <c r="Q55">
        <v>5.6471743999999997E-2</v>
      </c>
      <c r="R55">
        <v>5.2942259999999998E-2</v>
      </c>
      <c r="S55">
        <v>5.2942259999999998E-2</v>
      </c>
    </row>
    <row r="56" spans="1:19" x14ac:dyDescent="0.25">
      <c r="A56" t="s">
        <v>2</v>
      </c>
      <c r="B56" t="s">
        <v>88</v>
      </c>
      <c r="C56" t="s">
        <v>89</v>
      </c>
      <c r="D56" t="s">
        <v>3</v>
      </c>
      <c r="E56" t="s">
        <v>107</v>
      </c>
      <c r="F56" t="s">
        <v>108</v>
      </c>
      <c r="G56" t="s">
        <v>139</v>
      </c>
      <c r="H56" t="s">
        <v>92</v>
      </c>
      <c r="J56">
        <v>52.162646000000002</v>
      </c>
      <c r="K56">
        <v>7.968648</v>
      </c>
      <c r="L56" t="s">
        <v>4</v>
      </c>
      <c r="M56">
        <v>7.2120859999999995E-2</v>
      </c>
      <c r="N56">
        <v>5.6094001999999997E-2</v>
      </c>
      <c r="O56">
        <v>6.7312802000000005E-2</v>
      </c>
      <c r="P56">
        <v>5.6094001999999997E-2</v>
      </c>
      <c r="Q56">
        <v>5.1285944999999999E-2</v>
      </c>
      <c r="R56">
        <v>4.8080573000000001E-2</v>
      </c>
      <c r="S56">
        <v>4.8080573000000001E-2</v>
      </c>
    </row>
    <row r="57" spans="1:19" x14ac:dyDescent="0.25">
      <c r="A57" t="s">
        <v>2</v>
      </c>
      <c r="B57" t="s">
        <v>88</v>
      </c>
      <c r="C57" t="s">
        <v>89</v>
      </c>
      <c r="D57" t="s">
        <v>3</v>
      </c>
      <c r="E57" t="s">
        <v>172</v>
      </c>
      <c r="F57" t="s">
        <v>173</v>
      </c>
      <c r="G57" t="s">
        <v>139</v>
      </c>
      <c r="H57" t="s">
        <v>92</v>
      </c>
      <c r="J57">
        <v>50.027914000000003</v>
      </c>
      <c r="K57">
        <v>11.308923</v>
      </c>
      <c r="L57" t="s">
        <v>4</v>
      </c>
      <c r="M57">
        <v>1.658103E-3</v>
      </c>
      <c r="N57">
        <v>1.289636E-3</v>
      </c>
      <c r="O57">
        <v>1.5475630000000001E-3</v>
      </c>
      <c r="P57">
        <v>1.289636E-3</v>
      </c>
      <c r="Q57">
        <v>1.1790959999999999E-3</v>
      </c>
      <c r="R57">
        <v>1.1054019999999999E-3</v>
      </c>
      <c r="S57">
        <v>1.1054019999999999E-3</v>
      </c>
    </row>
    <row r="58" spans="1:19" x14ac:dyDescent="0.25">
      <c r="A58" t="s">
        <v>2</v>
      </c>
      <c r="B58" t="s">
        <v>88</v>
      </c>
      <c r="C58" t="s">
        <v>89</v>
      </c>
      <c r="D58" t="s">
        <v>3</v>
      </c>
      <c r="E58" t="s">
        <v>174</v>
      </c>
      <c r="F58" t="s">
        <v>175</v>
      </c>
      <c r="G58" t="s">
        <v>139</v>
      </c>
      <c r="H58" t="s">
        <v>92</v>
      </c>
      <c r="J58">
        <v>52.170476999999998</v>
      </c>
      <c r="K58">
        <v>9.7933900000000005</v>
      </c>
      <c r="L58" t="s">
        <v>4</v>
      </c>
      <c r="M58">
        <v>6.3428595000000004E-2</v>
      </c>
      <c r="N58">
        <v>4.9333351999999997E-2</v>
      </c>
      <c r="O58">
        <v>5.9200021999999998E-2</v>
      </c>
      <c r="P58">
        <v>4.9333351999999997E-2</v>
      </c>
      <c r="Q58">
        <v>4.5104778999999998E-2</v>
      </c>
      <c r="R58">
        <v>4.2285730000000001E-2</v>
      </c>
      <c r="S58">
        <v>4.2285730000000001E-2</v>
      </c>
    </row>
    <row r="59" spans="1:19" x14ac:dyDescent="0.25">
      <c r="A59" t="s">
        <v>2</v>
      </c>
      <c r="B59" t="s">
        <v>88</v>
      </c>
      <c r="C59" t="s">
        <v>89</v>
      </c>
      <c r="D59" t="s">
        <v>3</v>
      </c>
      <c r="E59" t="s">
        <v>176</v>
      </c>
      <c r="F59" t="s">
        <v>177</v>
      </c>
      <c r="G59" t="s">
        <v>139</v>
      </c>
      <c r="H59" t="s">
        <v>92</v>
      </c>
      <c r="J59">
        <v>52.023237000000002</v>
      </c>
      <c r="K59">
        <v>10.545916999999999</v>
      </c>
      <c r="L59" t="s">
        <v>4</v>
      </c>
      <c r="M59">
        <v>3.1327926999999998E-2</v>
      </c>
      <c r="N59">
        <v>2.4366166000000002E-2</v>
      </c>
      <c r="O59">
        <v>2.9239398999999999E-2</v>
      </c>
      <c r="P59">
        <v>2.4366166000000002E-2</v>
      </c>
      <c r="Q59">
        <v>2.2277636999999999E-2</v>
      </c>
      <c r="R59">
        <v>2.0885285E-2</v>
      </c>
      <c r="S59">
        <v>2.0885285E-2</v>
      </c>
    </row>
    <row r="60" spans="1:19" x14ac:dyDescent="0.25">
      <c r="A60" t="s">
        <v>2</v>
      </c>
      <c r="B60" t="s">
        <v>88</v>
      </c>
      <c r="C60" t="s">
        <v>89</v>
      </c>
      <c r="D60" t="s">
        <v>3</v>
      </c>
      <c r="E60" t="s">
        <v>178</v>
      </c>
      <c r="F60" t="s">
        <v>179</v>
      </c>
      <c r="G60" t="s">
        <v>139</v>
      </c>
      <c r="H60" t="s">
        <v>92</v>
      </c>
      <c r="J60">
        <v>52.071129999999997</v>
      </c>
      <c r="K60">
        <v>11.385047999999999</v>
      </c>
      <c r="L60" t="s">
        <v>4</v>
      </c>
      <c r="M60">
        <v>5.1052445000000002E-2</v>
      </c>
      <c r="N60">
        <v>3.9707458000000001E-2</v>
      </c>
      <c r="O60">
        <v>4.7648949000000003E-2</v>
      </c>
      <c r="P60">
        <v>3.9707458000000001E-2</v>
      </c>
      <c r="Q60">
        <v>3.6303961000000003E-2</v>
      </c>
      <c r="R60">
        <v>3.4034964000000001E-2</v>
      </c>
      <c r="S60">
        <v>3.4034964000000001E-2</v>
      </c>
    </row>
    <row r="61" spans="1:19" x14ac:dyDescent="0.25">
      <c r="A61" t="s">
        <v>2</v>
      </c>
      <c r="B61" t="s">
        <v>88</v>
      </c>
      <c r="C61" t="s">
        <v>89</v>
      </c>
      <c r="D61" t="s">
        <v>3</v>
      </c>
      <c r="E61" t="s">
        <v>180</v>
      </c>
      <c r="F61" t="s">
        <v>181</v>
      </c>
      <c r="G61" t="s">
        <v>139</v>
      </c>
      <c r="H61" t="s">
        <v>92</v>
      </c>
      <c r="J61">
        <v>52.977111999999998</v>
      </c>
      <c r="K61">
        <v>10.558517999999999</v>
      </c>
      <c r="L61" t="s">
        <v>4</v>
      </c>
      <c r="M61">
        <v>7.6179047999999999E-2</v>
      </c>
      <c r="N61">
        <v>5.9250371000000003E-2</v>
      </c>
      <c r="O61">
        <v>7.1100444999999998E-2</v>
      </c>
      <c r="P61">
        <v>5.9250371000000003E-2</v>
      </c>
      <c r="Q61">
        <v>5.4171768000000002E-2</v>
      </c>
      <c r="R61">
        <v>5.0786032000000002E-2</v>
      </c>
      <c r="S61">
        <v>5.0786032000000002E-2</v>
      </c>
    </row>
    <row r="62" spans="1:19" x14ac:dyDescent="0.25">
      <c r="A62" t="s">
        <v>2</v>
      </c>
      <c r="B62" t="s">
        <v>88</v>
      </c>
      <c r="C62" t="s">
        <v>89</v>
      </c>
      <c r="D62" t="s">
        <v>3</v>
      </c>
      <c r="E62" t="s">
        <v>182</v>
      </c>
      <c r="F62" t="s">
        <v>183</v>
      </c>
      <c r="G62" t="s">
        <v>139</v>
      </c>
      <c r="H62" t="s">
        <v>92</v>
      </c>
      <c r="J62">
        <v>52.233195000000002</v>
      </c>
      <c r="K62">
        <v>10.034605000000001</v>
      </c>
      <c r="L62" t="s">
        <v>4</v>
      </c>
      <c r="M62">
        <v>2.7071466999999998E-2</v>
      </c>
      <c r="N62">
        <v>2.1055585000000002E-2</v>
      </c>
      <c r="O62">
        <v>2.5266701999999999E-2</v>
      </c>
      <c r="P62">
        <v>2.1055585000000002E-2</v>
      </c>
      <c r="Q62">
        <v>1.9250821000000001E-2</v>
      </c>
      <c r="R62">
        <v>1.8047645000000001E-2</v>
      </c>
      <c r="S62">
        <v>1.8047645000000001E-2</v>
      </c>
    </row>
    <row r="63" spans="1:19" x14ac:dyDescent="0.25">
      <c r="A63" t="s">
        <v>2</v>
      </c>
      <c r="B63" t="s">
        <v>88</v>
      </c>
      <c r="C63" t="s">
        <v>89</v>
      </c>
      <c r="D63" t="s">
        <v>3</v>
      </c>
      <c r="E63" t="s">
        <v>184</v>
      </c>
      <c r="F63" t="s">
        <v>185</v>
      </c>
      <c r="G63" t="s">
        <v>139</v>
      </c>
      <c r="H63" t="s">
        <v>92</v>
      </c>
      <c r="J63">
        <v>51.205803000000003</v>
      </c>
      <c r="K63">
        <v>9.9074449999999992</v>
      </c>
      <c r="L63" t="s">
        <v>4</v>
      </c>
      <c r="M63">
        <v>2.3620398000000001E-2</v>
      </c>
      <c r="N63">
        <v>1.8371420999999999E-2</v>
      </c>
      <c r="O63">
        <v>2.2045704999999999E-2</v>
      </c>
      <c r="P63">
        <v>1.8371420999999999E-2</v>
      </c>
      <c r="Q63">
        <v>1.6796727000000001E-2</v>
      </c>
      <c r="R63">
        <v>1.5746932000000002E-2</v>
      </c>
      <c r="S63">
        <v>1.5746932000000002E-2</v>
      </c>
    </row>
    <row r="64" spans="1:19" x14ac:dyDescent="0.25">
      <c r="A64" t="s">
        <v>2</v>
      </c>
      <c r="B64" t="s">
        <v>88</v>
      </c>
      <c r="C64" t="s">
        <v>89</v>
      </c>
      <c r="D64" t="s">
        <v>3</v>
      </c>
      <c r="E64" t="s">
        <v>97</v>
      </c>
      <c r="F64" t="s">
        <v>98</v>
      </c>
      <c r="G64" t="s">
        <v>139</v>
      </c>
      <c r="H64" t="s">
        <v>92</v>
      </c>
      <c r="J64">
        <v>48.423419000000003</v>
      </c>
      <c r="K64">
        <v>9.9041779999999999</v>
      </c>
      <c r="L64" t="s">
        <v>4</v>
      </c>
      <c r="M64">
        <v>7.0400294000000002E-2</v>
      </c>
      <c r="N64">
        <v>5.4755784000000002E-2</v>
      </c>
      <c r="O64">
        <v>6.5706941000000005E-2</v>
      </c>
      <c r="P64">
        <v>5.4755784000000002E-2</v>
      </c>
      <c r="Q64">
        <v>5.0062430999999998E-2</v>
      </c>
      <c r="R64">
        <v>4.6933529000000002E-2</v>
      </c>
      <c r="S64">
        <v>4.6933529000000002E-2</v>
      </c>
    </row>
    <row r="65" spans="1:19" x14ac:dyDescent="0.25">
      <c r="A65" t="s">
        <v>2</v>
      </c>
      <c r="B65" t="s">
        <v>88</v>
      </c>
      <c r="C65" t="s">
        <v>89</v>
      </c>
      <c r="D65" t="s">
        <v>3</v>
      </c>
      <c r="E65" t="s">
        <v>186</v>
      </c>
      <c r="F65" t="s">
        <v>187</v>
      </c>
      <c r="G65" t="s">
        <v>139</v>
      </c>
      <c r="H65" t="s">
        <v>92</v>
      </c>
      <c r="J65">
        <v>49.364916000000001</v>
      </c>
      <c r="K65">
        <v>11.604835</v>
      </c>
      <c r="L65" t="s">
        <v>4</v>
      </c>
      <c r="M65">
        <v>2.4093127999999998E-2</v>
      </c>
      <c r="N65">
        <v>1.8739098999999999E-2</v>
      </c>
      <c r="O65">
        <v>2.2486919000000001E-2</v>
      </c>
      <c r="P65">
        <v>1.8739098999999999E-2</v>
      </c>
      <c r="Q65">
        <v>1.7132891000000001E-2</v>
      </c>
      <c r="R65">
        <v>1.6062085E-2</v>
      </c>
      <c r="S65">
        <v>1.6062085E-2</v>
      </c>
    </row>
    <row r="66" spans="1:19" x14ac:dyDescent="0.25">
      <c r="A66" t="s">
        <v>2</v>
      </c>
      <c r="B66" t="s">
        <v>88</v>
      </c>
      <c r="C66" t="s">
        <v>89</v>
      </c>
      <c r="D66" t="s">
        <v>3</v>
      </c>
      <c r="E66" t="s">
        <v>188</v>
      </c>
      <c r="F66" t="s">
        <v>189</v>
      </c>
      <c r="G66" t="s">
        <v>139</v>
      </c>
      <c r="H66" t="s">
        <v>92</v>
      </c>
      <c r="J66">
        <v>50.915255000000002</v>
      </c>
      <c r="K66">
        <v>6.3715789999999997</v>
      </c>
      <c r="L66" t="s">
        <v>4</v>
      </c>
      <c r="M66">
        <v>8.5499725999999998E-2</v>
      </c>
      <c r="N66">
        <v>6.6499787000000005E-2</v>
      </c>
      <c r="O66">
        <v>7.9799745000000005E-2</v>
      </c>
      <c r="P66">
        <v>6.6499787000000005E-2</v>
      </c>
      <c r="Q66">
        <v>6.0799805999999998E-2</v>
      </c>
      <c r="R66">
        <v>5.6999818000000001E-2</v>
      </c>
      <c r="S66">
        <v>5.6999818000000001E-2</v>
      </c>
    </row>
    <row r="67" spans="1:19" x14ac:dyDescent="0.25">
      <c r="A67" t="s">
        <v>2</v>
      </c>
      <c r="B67" t="s">
        <v>88</v>
      </c>
      <c r="C67" t="s">
        <v>89</v>
      </c>
      <c r="D67" t="s">
        <v>3</v>
      </c>
      <c r="E67" t="s">
        <v>190</v>
      </c>
      <c r="F67" t="s">
        <v>191</v>
      </c>
      <c r="G67" t="s">
        <v>139</v>
      </c>
      <c r="H67" t="s">
        <v>92</v>
      </c>
      <c r="J67">
        <v>50.657406000000002</v>
      </c>
      <c r="K67">
        <v>6.8105380000000002</v>
      </c>
      <c r="L67" t="s">
        <v>4</v>
      </c>
      <c r="M67">
        <v>4.1957485000000003E-2</v>
      </c>
      <c r="N67">
        <v>3.2633598999999999E-2</v>
      </c>
      <c r="O67">
        <v>3.9160318999999999E-2</v>
      </c>
      <c r="P67">
        <v>3.2633598999999999E-2</v>
      </c>
      <c r="Q67">
        <v>2.9836433999999998E-2</v>
      </c>
      <c r="R67">
        <v>2.7971657E-2</v>
      </c>
      <c r="S67">
        <v>2.7971657E-2</v>
      </c>
    </row>
    <row r="68" spans="1:19" x14ac:dyDescent="0.25">
      <c r="A68" t="s">
        <v>2</v>
      </c>
      <c r="B68" t="s">
        <v>88</v>
      </c>
      <c r="C68" t="s">
        <v>89</v>
      </c>
      <c r="D68" t="s">
        <v>3</v>
      </c>
      <c r="E68" t="s">
        <v>192</v>
      </c>
      <c r="F68" t="s">
        <v>193</v>
      </c>
      <c r="G68" t="s">
        <v>139</v>
      </c>
      <c r="H68" t="s">
        <v>92</v>
      </c>
      <c r="J68">
        <v>51.985916000000003</v>
      </c>
      <c r="K68">
        <v>8.8075480000000006</v>
      </c>
      <c r="L68" t="s">
        <v>4</v>
      </c>
      <c r="M68">
        <v>2.1625373999999999E-2</v>
      </c>
      <c r="N68">
        <v>1.6819735999999998E-2</v>
      </c>
      <c r="O68">
        <v>2.0183683000000001E-2</v>
      </c>
      <c r="P68">
        <v>1.6819735999999998E-2</v>
      </c>
      <c r="Q68">
        <v>1.5378044E-2</v>
      </c>
      <c r="R68">
        <v>1.4416916E-2</v>
      </c>
      <c r="S68">
        <v>1.4416916E-2</v>
      </c>
    </row>
    <row r="69" spans="1:19" x14ac:dyDescent="0.25">
      <c r="A69" t="s">
        <v>2</v>
      </c>
      <c r="B69" t="s">
        <v>88</v>
      </c>
      <c r="C69" t="s">
        <v>89</v>
      </c>
      <c r="D69" t="s">
        <v>3</v>
      </c>
      <c r="E69" t="s">
        <v>194</v>
      </c>
      <c r="F69" t="s">
        <v>195</v>
      </c>
      <c r="G69" t="s">
        <v>139</v>
      </c>
      <c r="H69" t="s">
        <v>92</v>
      </c>
      <c r="J69">
        <v>51.729120999999999</v>
      </c>
      <c r="K69">
        <v>6.3590609999999996</v>
      </c>
      <c r="L69" t="s">
        <v>4</v>
      </c>
      <c r="M69">
        <v>2.1348077E-2</v>
      </c>
      <c r="N69">
        <v>1.660406E-2</v>
      </c>
      <c r="O69">
        <v>1.9924872E-2</v>
      </c>
      <c r="P69">
        <v>1.660406E-2</v>
      </c>
      <c r="Q69">
        <v>1.5180855E-2</v>
      </c>
      <c r="R69">
        <v>1.4232052E-2</v>
      </c>
      <c r="S69">
        <v>1.4232052E-2</v>
      </c>
    </row>
    <row r="70" spans="1:19" x14ac:dyDescent="0.25">
      <c r="A70" t="s">
        <v>2</v>
      </c>
      <c r="B70" t="s">
        <v>88</v>
      </c>
      <c r="C70" t="s">
        <v>89</v>
      </c>
      <c r="D70" t="s">
        <v>3</v>
      </c>
      <c r="E70" t="s">
        <v>133</v>
      </c>
      <c r="F70" t="s">
        <v>134</v>
      </c>
      <c r="G70" t="s">
        <v>139</v>
      </c>
      <c r="H70" t="s">
        <v>92</v>
      </c>
      <c r="J70">
        <v>51.698058000000003</v>
      </c>
      <c r="K70">
        <v>11.757585000000001</v>
      </c>
      <c r="L70" t="s">
        <v>4</v>
      </c>
      <c r="M70">
        <v>5.2051849999999997E-2</v>
      </c>
      <c r="N70">
        <v>4.0484772000000002E-2</v>
      </c>
      <c r="O70">
        <v>4.8581726999999998E-2</v>
      </c>
      <c r="P70">
        <v>4.0484772000000002E-2</v>
      </c>
      <c r="Q70">
        <v>3.7014648999999997E-2</v>
      </c>
      <c r="R70">
        <v>3.4701232999999998E-2</v>
      </c>
      <c r="S70">
        <v>3.4701232999999998E-2</v>
      </c>
    </row>
    <row r="71" spans="1:19" x14ac:dyDescent="0.25">
      <c r="A71" t="s">
        <v>2</v>
      </c>
      <c r="B71" t="s">
        <v>88</v>
      </c>
      <c r="C71" t="s">
        <v>89</v>
      </c>
      <c r="D71" t="s">
        <v>3</v>
      </c>
      <c r="E71" t="s">
        <v>111</v>
      </c>
      <c r="F71" t="s">
        <v>112</v>
      </c>
      <c r="G71" t="s">
        <v>139</v>
      </c>
      <c r="H71" t="s">
        <v>92</v>
      </c>
      <c r="J71">
        <v>51.597330999999997</v>
      </c>
      <c r="K71">
        <v>8.3411760000000008</v>
      </c>
      <c r="L71" t="s">
        <v>4</v>
      </c>
      <c r="M71">
        <v>5.7637064000000002E-2</v>
      </c>
      <c r="N71">
        <v>4.4828828000000001E-2</v>
      </c>
      <c r="O71">
        <v>5.3794593000000002E-2</v>
      </c>
      <c r="P71">
        <v>4.4828828000000001E-2</v>
      </c>
      <c r="Q71">
        <v>4.0986357000000001E-2</v>
      </c>
      <c r="R71">
        <v>3.8424710000000001E-2</v>
      </c>
      <c r="S71">
        <v>3.8424710000000001E-2</v>
      </c>
    </row>
    <row r="72" spans="1:19" x14ac:dyDescent="0.25">
      <c r="A72" t="s">
        <v>2</v>
      </c>
      <c r="B72" t="s">
        <v>88</v>
      </c>
      <c r="C72" t="s">
        <v>89</v>
      </c>
      <c r="D72" t="s">
        <v>3</v>
      </c>
      <c r="E72" t="s">
        <v>196</v>
      </c>
      <c r="F72" t="s">
        <v>197</v>
      </c>
      <c r="G72" t="s">
        <v>139</v>
      </c>
      <c r="H72" t="s">
        <v>92</v>
      </c>
      <c r="J72">
        <v>52.169490000000003</v>
      </c>
      <c r="K72">
        <v>14.626637000000001</v>
      </c>
      <c r="L72" t="s">
        <v>4</v>
      </c>
      <c r="M72">
        <v>7.2417085000000006E-2</v>
      </c>
      <c r="N72">
        <v>5.6324398999999997E-2</v>
      </c>
      <c r="O72">
        <v>6.7589279000000002E-2</v>
      </c>
      <c r="P72">
        <v>5.6324398999999997E-2</v>
      </c>
      <c r="Q72">
        <v>5.1496594E-2</v>
      </c>
      <c r="R72">
        <v>4.8278056999999999E-2</v>
      </c>
      <c r="S72">
        <v>4.8278056999999999E-2</v>
      </c>
    </row>
    <row r="73" spans="1:19" x14ac:dyDescent="0.25">
      <c r="A73" t="s">
        <v>2</v>
      </c>
      <c r="B73" t="s">
        <v>88</v>
      </c>
      <c r="C73" t="s">
        <v>89</v>
      </c>
      <c r="D73" t="s">
        <v>3</v>
      </c>
      <c r="E73" t="s">
        <v>140</v>
      </c>
      <c r="F73" t="s">
        <v>141</v>
      </c>
      <c r="G73" t="s">
        <v>139</v>
      </c>
      <c r="H73" t="s">
        <v>92</v>
      </c>
      <c r="J73">
        <v>50.944513999999998</v>
      </c>
      <c r="K73">
        <v>11.988065000000001</v>
      </c>
      <c r="L73" t="s">
        <v>4</v>
      </c>
      <c r="M73">
        <v>3.2936343999999999E-2</v>
      </c>
      <c r="N73">
        <v>2.5617157000000002E-2</v>
      </c>
      <c r="O73">
        <v>3.0740587999999999E-2</v>
      </c>
      <c r="P73">
        <v>2.5617157000000002E-2</v>
      </c>
      <c r="Q73">
        <v>2.3421399999999998E-2</v>
      </c>
      <c r="R73">
        <v>2.1957562999999999E-2</v>
      </c>
      <c r="S73">
        <v>2.1957562999999999E-2</v>
      </c>
    </row>
    <row r="74" spans="1:19" x14ac:dyDescent="0.25">
      <c r="A74" t="s">
        <v>2</v>
      </c>
      <c r="B74" t="s">
        <v>88</v>
      </c>
      <c r="C74" t="s">
        <v>89</v>
      </c>
      <c r="D74" t="s">
        <v>3</v>
      </c>
      <c r="E74" t="s">
        <v>198</v>
      </c>
      <c r="F74" t="s">
        <v>199</v>
      </c>
      <c r="G74" t="s">
        <v>139</v>
      </c>
      <c r="H74" t="s">
        <v>92</v>
      </c>
      <c r="J74">
        <v>53.853903000000003</v>
      </c>
      <c r="K74">
        <v>13.708684</v>
      </c>
      <c r="L74" t="s">
        <v>4</v>
      </c>
      <c r="M74">
        <v>3.9175997999999997E-2</v>
      </c>
      <c r="N74">
        <v>3.0470220999999999E-2</v>
      </c>
      <c r="O74">
        <v>3.6564264999999999E-2</v>
      </c>
      <c r="P74">
        <v>3.0470220999999999E-2</v>
      </c>
      <c r="Q74">
        <v>2.7858488000000001E-2</v>
      </c>
      <c r="R74">
        <v>2.6117332E-2</v>
      </c>
      <c r="S74">
        <v>2.6117332E-2</v>
      </c>
    </row>
    <row r="75" spans="1:19" x14ac:dyDescent="0.25">
      <c r="A75" t="s">
        <v>2</v>
      </c>
      <c r="B75" t="s">
        <v>88</v>
      </c>
      <c r="C75" t="s">
        <v>89</v>
      </c>
      <c r="D75" t="s">
        <v>3</v>
      </c>
      <c r="E75" t="s">
        <v>200</v>
      </c>
      <c r="F75" t="s">
        <v>201</v>
      </c>
      <c r="G75" t="s">
        <v>139</v>
      </c>
      <c r="H75" t="s">
        <v>92</v>
      </c>
      <c r="J75">
        <v>51.491359000000003</v>
      </c>
      <c r="K75">
        <v>9.1656840000000006</v>
      </c>
      <c r="L75" t="s">
        <v>4</v>
      </c>
      <c r="M75">
        <v>1.6134327E-2</v>
      </c>
      <c r="N75">
        <v>1.2548920999999999E-2</v>
      </c>
      <c r="O75">
        <v>1.5058706E-2</v>
      </c>
      <c r="P75">
        <v>1.2548920999999999E-2</v>
      </c>
      <c r="Q75">
        <v>1.1473298999999999E-2</v>
      </c>
      <c r="R75">
        <v>1.0756218E-2</v>
      </c>
      <c r="S75">
        <v>1.0756218E-2</v>
      </c>
    </row>
    <row r="76" spans="1:19" x14ac:dyDescent="0.25">
      <c r="A76" t="s">
        <v>2</v>
      </c>
      <c r="B76" t="s">
        <v>88</v>
      </c>
      <c r="C76" t="s">
        <v>89</v>
      </c>
      <c r="D76" t="s">
        <v>3</v>
      </c>
      <c r="E76" t="s">
        <v>202</v>
      </c>
      <c r="F76" t="s">
        <v>203</v>
      </c>
      <c r="G76" t="s">
        <v>139</v>
      </c>
      <c r="H76" t="s">
        <v>92</v>
      </c>
      <c r="J76">
        <v>51.102179999999997</v>
      </c>
      <c r="K76">
        <v>9.3601209999999995</v>
      </c>
      <c r="L76" t="s">
        <v>4</v>
      </c>
      <c r="M76">
        <v>1.9918057999999999E-2</v>
      </c>
      <c r="N76">
        <v>1.5491823E-2</v>
      </c>
      <c r="O76">
        <v>1.8590188000000001E-2</v>
      </c>
      <c r="P76">
        <v>1.5491823E-2</v>
      </c>
      <c r="Q76">
        <v>1.4163952E-2</v>
      </c>
      <c r="R76">
        <v>1.3278705E-2</v>
      </c>
      <c r="S76">
        <v>1.3278705E-2</v>
      </c>
    </row>
    <row r="77" spans="1:19" x14ac:dyDescent="0.25">
      <c r="A77" t="s">
        <v>2</v>
      </c>
      <c r="B77" t="s">
        <v>88</v>
      </c>
      <c r="C77" t="s">
        <v>89</v>
      </c>
      <c r="D77" t="s">
        <v>3</v>
      </c>
      <c r="E77" t="s">
        <v>204</v>
      </c>
      <c r="F77" t="s">
        <v>205</v>
      </c>
      <c r="G77" t="s">
        <v>139</v>
      </c>
      <c r="H77" t="s">
        <v>92</v>
      </c>
      <c r="J77">
        <v>49.243552000000001</v>
      </c>
      <c r="K77">
        <v>9.1805129999999995</v>
      </c>
      <c r="L77" t="s">
        <v>4</v>
      </c>
      <c r="M77">
        <v>3.6359493999999999E-2</v>
      </c>
      <c r="N77">
        <v>2.8279606999999998E-2</v>
      </c>
      <c r="O77">
        <v>3.3935528E-2</v>
      </c>
      <c r="P77">
        <v>2.8279606999999998E-2</v>
      </c>
      <c r="Q77">
        <v>2.5855639999999999E-2</v>
      </c>
      <c r="R77">
        <v>2.4239663000000002E-2</v>
      </c>
      <c r="S77">
        <v>2.4239663000000002E-2</v>
      </c>
    </row>
    <row r="78" spans="1:19" x14ac:dyDescent="0.25">
      <c r="A78" t="s">
        <v>2</v>
      </c>
      <c r="B78" t="s">
        <v>88</v>
      </c>
      <c r="C78" t="s">
        <v>89</v>
      </c>
      <c r="D78" t="s">
        <v>3</v>
      </c>
      <c r="E78" t="s">
        <v>206</v>
      </c>
      <c r="F78" t="s">
        <v>207</v>
      </c>
      <c r="G78" t="s">
        <v>139</v>
      </c>
      <c r="H78" t="s">
        <v>92</v>
      </c>
      <c r="J78">
        <v>49.665720999999998</v>
      </c>
      <c r="K78">
        <v>10.080456999999999</v>
      </c>
      <c r="L78" t="s">
        <v>4</v>
      </c>
      <c r="M78">
        <v>6.8611114000000001E-2</v>
      </c>
      <c r="N78">
        <v>5.3364199000000001E-2</v>
      </c>
      <c r="O78">
        <v>6.4037039000000004E-2</v>
      </c>
      <c r="P78">
        <v>5.3364199000000001E-2</v>
      </c>
      <c r="Q78">
        <v>4.8790124999999997E-2</v>
      </c>
      <c r="R78">
        <v>4.5740742000000001E-2</v>
      </c>
      <c r="S78">
        <v>4.5740742000000001E-2</v>
      </c>
    </row>
    <row r="79" spans="1:19" x14ac:dyDescent="0.25">
      <c r="A79" t="s">
        <v>2</v>
      </c>
      <c r="B79" t="s">
        <v>88</v>
      </c>
      <c r="C79" t="s">
        <v>89</v>
      </c>
      <c r="D79" t="s">
        <v>3</v>
      </c>
      <c r="E79" t="s">
        <v>135</v>
      </c>
      <c r="F79" t="s">
        <v>136</v>
      </c>
      <c r="G79" t="s">
        <v>139</v>
      </c>
      <c r="H79" t="s">
        <v>92</v>
      </c>
      <c r="J79">
        <v>51.053932000000003</v>
      </c>
      <c r="K79">
        <v>12.110927</v>
      </c>
      <c r="L79" t="s">
        <v>4</v>
      </c>
      <c r="M79">
        <v>0.13392447599999999</v>
      </c>
      <c r="N79">
        <v>0.104163481</v>
      </c>
      <c r="O79">
        <v>0.124996178</v>
      </c>
      <c r="P79">
        <v>0.104163481</v>
      </c>
      <c r="Q79">
        <v>9.5235183000000001E-2</v>
      </c>
      <c r="R79">
        <v>8.9282983999999996E-2</v>
      </c>
      <c r="S79">
        <v>8.9282983999999996E-2</v>
      </c>
    </row>
    <row r="80" spans="1:19" x14ac:dyDescent="0.25">
      <c r="A80" t="s">
        <v>2</v>
      </c>
      <c r="B80" t="s">
        <v>88</v>
      </c>
      <c r="C80" t="s">
        <v>89</v>
      </c>
      <c r="D80" t="s">
        <v>3</v>
      </c>
      <c r="E80" t="s">
        <v>208</v>
      </c>
      <c r="F80" t="s">
        <v>209</v>
      </c>
      <c r="G80" t="s">
        <v>139</v>
      </c>
      <c r="H80" t="s">
        <v>92</v>
      </c>
      <c r="J80">
        <v>51.459828999999999</v>
      </c>
      <c r="K80">
        <v>13.223212999999999</v>
      </c>
      <c r="L80" t="s">
        <v>4</v>
      </c>
      <c r="M80">
        <v>3.4265571000000002E-2</v>
      </c>
      <c r="N80">
        <v>2.6651000000000001E-2</v>
      </c>
      <c r="O80">
        <v>3.1981200000000001E-2</v>
      </c>
      <c r="P80">
        <v>2.6651000000000001E-2</v>
      </c>
      <c r="Q80">
        <v>2.4366628000000001E-2</v>
      </c>
      <c r="R80">
        <v>2.2843714000000001E-2</v>
      </c>
      <c r="S80">
        <v>2.2843714000000001E-2</v>
      </c>
    </row>
    <row r="81" spans="1:19" x14ac:dyDescent="0.25">
      <c r="A81" t="s">
        <v>2</v>
      </c>
      <c r="B81" t="s">
        <v>88</v>
      </c>
      <c r="C81" t="s">
        <v>89</v>
      </c>
      <c r="D81" t="s">
        <v>3</v>
      </c>
      <c r="E81" t="s">
        <v>129</v>
      </c>
      <c r="F81" t="s">
        <v>130</v>
      </c>
      <c r="G81" t="s">
        <v>139</v>
      </c>
      <c r="H81" t="s">
        <v>92</v>
      </c>
      <c r="J81">
        <v>48.69791</v>
      </c>
      <c r="K81">
        <v>10.909583</v>
      </c>
      <c r="L81" t="s">
        <v>4</v>
      </c>
      <c r="M81">
        <v>3.7691086999999998E-2</v>
      </c>
      <c r="N81">
        <v>2.9315290000000001E-2</v>
      </c>
      <c r="O81">
        <v>3.5178347999999998E-2</v>
      </c>
      <c r="P81">
        <v>2.9315290000000001E-2</v>
      </c>
      <c r="Q81">
        <v>2.6802551000000001E-2</v>
      </c>
      <c r="R81">
        <v>2.5127390999999999E-2</v>
      </c>
      <c r="S81">
        <v>2.5127390999999999E-2</v>
      </c>
    </row>
    <row r="82" spans="1:19" x14ac:dyDescent="0.25">
      <c r="A82" t="s">
        <v>2</v>
      </c>
      <c r="B82" t="s">
        <v>88</v>
      </c>
      <c r="C82" t="s">
        <v>89</v>
      </c>
      <c r="D82" t="s">
        <v>3</v>
      </c>
      <c r="E82" t="s">
        <v>210</v>
      </c>
      <c r="F82" t="s">
        <v>211</v>
      </c>
      <c r="G82" t="s">
        <v>139</v>
      </c>
      <c r="H82" t="s">
        <v>92</v>
      </c>
      <c r="J82">
        <v>49.599576999999996</v>
      </c>
      <c r="K82">
        <v>8.2196610000000003</v>
      </c>
      <c r="L82" t="s">
        <v>4</v>
      </c>
      <c r="M82">
        <v>6.7556344000000004E-2</v>
      </c>
      <c r="N82">
        <v>5.2543823000000003E-2</v>
      </c>
      <c r="O82">
        <v>6.3052588000000007E-2</v>
      </c>
      <c r="P82">
        <v>5.2543823000000003E-2</v>
      </c>
      <c r="Q82">
        <v>4.8040066999999999E-2</v>
      </c>
      <c r="R82">
        <v>4.5037563000000003E-2</v>
      </c>
      <c r="S82">
        <v>4.5037563000000003E-2</v>
      </c>
    </row>
    <row r="83" spans="1:19" x14ac:dyDescent="0.25">
      <c r="A83" t="s">
        <v>2</v>
      </c>
      <c r="B83" t="s">
        <v>88</v>
      </c>
      <c r="C83" t="s">
        <v>89</v>
      </c>
      <c r="D83" t="s">
        <v>3</v>
      </c>
      <c r="E83" t="s">
        <v>212</v>
      </c>
      <c r="F83" t="s">
        <v>213</v>
      </c>
      <c r="G83" t="s">
        <v>139</v>
      </c>
      <c r="H83" t="s">
        <v>92</v>
      </c>
      <c r="J83">
        <v>48.786760000000001</v>
      </c>
      <c r="K83">
        <v>12.882771</v>
      </c>
      <c r="L83" t="s">
        <v>4</v>
      </c>
      <c r="M83">
        <v>5.9421039000000002E-2</v>
      </c>
      <c r="N83">
        <v>4.6216364000000003E-2</v>
      </c>
      <c r="O83">
        <v>5.5459636999999999E-2</v>
      </c>
      <c r="P83">
        <v>4.6216364000000003E-2</v>
      </c>
      <c r="Q83">
        <v>4.2254961000000001E-2</v>
      </c>
      <c r="R83">
        <v>3.9614025999999997E-2</v>
      </c>
      <c r="S83">
        <v>3.9614025999999997E-2</v>
      </c>
    </row>
    <row r="84" spans="1:19" x14ac:dyDescent="0.25">
      <c r="A84" t="s">
        <v>2</v>
      </c>
      <c r="B84" t="s">
        <v>88</v>
      </c>
      <c r="C84" t="s">
        <v>89</v>
      </c>
      <c r="D84" t="s">
        <v>3</v>
      </c>
      <c r="E84" t="s">
        <v>214</v>
      </c>
      <c r="F84" t="s">
        <v>215</v>
      </c>
      <c r="G84" t="s">
        <v>7</v>
      </c>
      <c r="H84" t="s">
        <v>92</v>
      </c>
      <c r="J84">
        <v>47.891316660000001</v>
      </c>
      <c r="K84">
        <v>7.6164636420000003</v>
      </c>
      <c r="L84" t="s">
        <v>4</v>
      </c>
      <c r="M84">
        <v>0</v>
      </c>
      <c r="N84">
        <v>3.9440279999999996E-3</v>
      </c>
      <c r="O84">
        <v>2.297486E-2</v>
      </c>
      <c r="P84">
        <v>5.6290736000000001E-2</v>
      </c>
      <c r="Q84">
        <v>8.3387163E-2</v>
      </c>
      <c r="R84">
        <v>0.115849047</v>
      </c>
      <c r="S84">
        <v>0.115849047</v>
      </c>
    </row>
    <row r="85" spans="1:19" x14ac:dyDescent="0.25">
      <c r="A85" t="s">
        <v>2</v>
      </c>
      <c r="B85" t="s">
        <v>88</v>
      </c>
      <c r="C85" t="s">
        <v>89</v>
      </c>
      <c r="D85" t="s">
        <v>3</v>
      </c>
      <c r="E85" t="s">
        <v>216</v>
      </c>
      <c r="F85" t="s">
        <v>217</v>
      </c>
      <c r="G85" t="s">
        <v>7</v>
      </c>
      <c r="H85" t="s">
        <v>92</v>
      </c>
      <c r="J85">
        <v>47.7592316</v>
      </c>
      <c r="K85">
        <v>10.31880001</v>
      </c>
      <c r="L85" t="s">
        <v>4</v>
      </c>
      <c r="M85">
        <v>0</v>
      </c>
      <c r="N85">
        <v>3.411051E-3</v>
      </c>
      <c r="O85">
        <v>1.9870149E-2</v>
      </c>
      <c r="P85">
        <v>4.8683878999999999E-2</v>
      </c>
      <c r="Q85">
        <v>7.2118627000000005E-2</v>
      </c>
      <c r="R85">
        <v>0.100193771</v>
      </c>
      <c r="S85">
        <v>0.100193771</v>
      </c>
    </row>
    <row r="86" spans="1:19" x14ac:dyDescent="0.25">
      <c r="A86" t="s">
        <v>2</v>
      </c>
      <c r="B86" t="s">
        <v>88</v>
      </c>
      <c r="C86" t="s">
        <v>89</v>
      </c>
      <c r="D86" t="s">
        <v>3</v>
      </c>
      <c r="E86" t="s">
        <v>218</v>
      </c>
      <c r="F86" t="s">
        <v>219</v>
      </c>
      <c r="G86" t="s">
        <v>7</v>
      </c>
      <c r="H86" t="s">
        <v>92</v>
      </c>
      <c r="J86">
        <v>47.85607066</v>
      </c>
      <c r="K86">
        <v>12.13358303</v>
      </c>
      <c r="L86" t="s">
        <v>4</v>
      </c>
      <c r="M86">
        <v>0</v>
      </c>
      <c r="N86">
        <v>2.1319070000000002E-3</v>
      </c>
      <c r="O86">
        <v>1.2418843000000001E-2</v>
      </c>
      <c r="P86">
        <v>3.0427425000000001E-2</v>
      </c>
      <c r="Q86">
        <v>4.5074141999999998E-2</v>
      </c>
      <c r="R86">
        <v>6.2621106999999995E-2</v>
      </c>
      <c r="S86">
        <v>6.2621106999999995E-2</v>
      </c>
    </row>
    <row r="87" spans="1:19" x14ac:dyDescent="0.25">
      <c r="A87" t="s">
        <v>2</v>
      </c>
      <c r="B87" t="s">
        <v>88</v>
      </c>
      <c r="C87" t="s">
        <v>89</v>
      </c>
      <c r="D87" t="s">
        <v>3</v>
      </c>
      <c r="E87" t="s">
        <v>220</v>
      </c>
      <c r="F87" t="s">
        <v>221</v>
      </c>
      <c r="G87" t="s">
        <v>7</v>
      </c>
      <c r="H87" t="s">
        <v>92</v>
      </c>
      <c r="J87">
        <v>48.184673170000003</v>
      </c>
      <c r="K87">
        <v>12.738267240000001</v>
      </c>
      <c r="L87" t="s">
        <v>4</v>
      </c>
      <c r="M87">
        <v>0</v>
      </c>
      <c r="N87">
        <v>5.6026510000000002E-3</v>
      </c>
      <c r="O87">
        <v>3.2636720000000001E-2</v>
      </c>
      <c r="P87">
        <v>7.9963272000000002E-2</v>
      </c>
      <c r="Q87">
        <v>0.118454846</v>
      </c>
      <c r="R87">
        <v>0.16456826799999999</v>
      </c>
      <c r="S87">
        <v>0.16456826799999999</v>
      </c>
    </row>
    <row r="88" spans="1:19" x14ac:dyDescent="0.25">
      <c r="A88" t="s">
        <v>2</v>
      </c>
      <c r="B88" t="s">
        <v>88</v>
      </c>
      <c r="C88" t="s">
        <v>89</v>
      </c>
      <c r="D88" t="s">
        <v>3</v>
      </c>
      <c r="E88" t="s">
        <v>222</v>
      </c>
      <c r="F88" t="s">
        <v>223</v>
      </c>
      <c r="G88" t="s">
        <v>7</v>
      </c>
      <c r="H88" t="s">
        <v>92</v>
      </c>
      <c r="J88">
        <v>48.181362759999999</v>
      </c>
      <c r="K88">
        <v>11.637290269999999</v>
      </c>
      <c r="L88" t="s">
        <v>4</v>
      </c>
      <c r="M88">
        <v>0</v>
      </c>
      <c r="N88">
        <v>1.5349730000000001E-2</v>
      </c>
      <c r="O88">
        <v>8.9415672000000002E-2</v>
      </c>
      <c r="P88">
        <v>0.219077457</v>
      </c>
      <c r="Q88">
        <v>0.32453382400000003</v>
      </c>
      <c r="R88">
        <v>0.45087196800000001</v>
      </c>
      <c r="S88">
        <v>0.45087196800000001</v>
      </c>
    </row>
    <row r="89" spans="1:19" x14ac:dyDescent="0.25">
      <c r="A89" t="s">
        <v>2</v>
      </c>
      <c r="B89" t="s">
        <v>88</v>
      </c>
      <c r="C89" t="s">
        <v>89</v>
      </c>
      <c r="D89" t="s">
        <v>3</v>
      </c>
      <c r="E89" t="s">
        <v>224</v>
      </c>
      <c r="F89" t="s">
        <v>225</v>
      </c>
      <c r="G89" t="s">
        <v>7</v>
      </c>
      <c r="H89" t="s">
        <v>92</v>
      </c>
      <c r="J89">
        <v>48.234881199999997</v>
      </c>
      <c r="K89">
        <v>11.35853928</v>
      </c>
      <c r="L89" t="s">
        <v>4</v>
      </c>
      <c r="M89">
        <v>0</v>
      </c>
      <c r="N89">
        <v>2.7288410000000001E-3</v>
      </c>
      <c r="O89">
        <v>1.5896119E-2</v>
      </c>
      <c r="P89">
        <v>3.8947104000000003E-2</v>
      </c>
      <c r="Q89">
        <v>5.7694901999999999E-2</v>
      </c>
      <c r="R89">
        <v>8.0155016999999995E-2</v>
      </c>
      <c r="S89">
        <v>8.0155016999999995E-2</v>
      </c>
    </row>
    <row r="90" spans="1:19" x14ac:dyDescent="0.25">
      <c r="A90" t="s">
        <v>2</v>
      </c>
      <c r="B90" t="s">
        <v>88</v>
      </c>
      <c r="C90" t="s">
        <v>89</v>
      </c>
      <c r="D90" t="s">
        <v>3</v>
      </c>
      <c r="E90" t="s">
        <v>226</v>
      </c>
      <c r="F90" t="s">
        <v>227</v>
      </c>
      <c r="G90" t="s">
        <v>7</v>
      </c>
      <c r="H90" t="s">
        <v>92</v>
      </c>
      <c r="J90">
        <v>48.401756519999999</v>
      </c>
      <c r="K90">
        <v>10.933586930000001</v>
      </c>
      <c r="L90" t="s">
        <v>4</v>
      </c>
      <c r="M90">
        <v>0</v>
      </c>
      <c r="N90">
        <v>5.5429579999999997E-3</v>
      </c>
      <c r="O90">
        <v>3.2288993000000002E-2</v>
      </c>
      <c r="P90">
        <v>7.9111303999999993E-2</v>
      </c>
      <c r="Q90">
        <v>0.11719277</v>
      </c>
      <c r="R90">
        <v>0.162814877</v>
      </c>
      <c r="S90">
        <v>0.162814877</v>
      </c>
    </row>
    <row r="91" spans="1:19" x14ac:dyDescent="0.25">
      <c r="A91" t="s">
        <v>2</v>
      </c>
      <c r="B91" t="s">
        <v>88</v>
      </c>
      <c r="C91" t="s">
        <v>89</v>
      </c>
      <c r="D91" t="s">
        <v>3</v>
      </c>
      <c r="E91" t="s">
        <v>228</v>
      </c>
      <c r="F91" t="s">
        <v>229</v>
      </c>
      <c r="G91" t="s">
        <v>7</v>
      </c>
      <c r="H91" t="s">
        <v>92</v>
      </c>
      <c r="J91">
        <v>48.299242839999998</v>
      </c>
      <c r="K91">
        <v>10.13459591</v>
      </c>
      <c r="L91" t="s">
        <v>4</v>
      </c>
      <c r="M91">
        <v>0</v>
      </c>
      <c r="N91">
        <v>2.2385019999999999E-3</v>
      </c>
      <c r="O91">
        <v>1.3039785999999999E-2</v>
      </c>
      <c r="P91">
        <v>3.1948796000000002E-2</v>
      </c>
      <c r="Q91">
        <v>4.7327848999999998E-2</v>
      </c>
      <c r="R91">
        <v>6.5752162000000003E-2</v>
      </c>
      <c r="S91">
        <v>6.5752162000000003E-2</v>
      </c>
    </row>
    <row r="92" spans="1:19" x14ac:dyDescent="0.25">
      <c r="A92" t="s">
        <v>2</v>
      </c>
      <c r="B92" t="s">
        <v>88</v>
      </c>
      <c r="C92" t="s">
        <v>89</v>
      </c>
      <c r="D92" t="s">
        <v>3</v>
      </c>
      <c r="E92" t="s">
        <v>230</v>
      </c>
      <c r="F92" t="s">
        <v>231</v>
      </c>
      <c r="G92" t="s">
        <v>7</v>
      </c>
      <c r="H92" t="s">
        <v>92</v>
      </c>
      <c r="J92">
        <v>48.363993919999999</v>
      </c>
      <c r="K92">
        <v>9.9550238459999996</v>
      </c>
      <c r="L92" t="s">
        <v>4</v>
      </c>
      <c r="M92">
        <v>0</v>
      </c>
      <c r="N92">
        <v>3.411051E-3</v>
      </c>
      <c r="O92">
        <v>1.9870149E-2</v>
      </c>
      <c r="P92">
        <v>4.8683878999999999E-2</v>
      </c>
      <c r="Q92">
        <v>7.2118627000000005E-2</v>
      </c>
      <c r="R92">
        <v>0.100193771</v>
      </c>
      <c r="S92">
        <v>0.100193771</v>
      </c>
    </row>
    <row r="93" spans="1:19" x14ac:dyDescent="0.25">
      <c r="A93" t="s">
        <v>2</v>
      </c>
      <c r="B93" t="s">
        <v>88</v>
      </c>
      <c r="C93" t="s">
        <v>89</v>
      </c>
      <c r="D93" t="s">
        <v>3</v>
      </c>
      <c r="E93" t="s">
        <v>232</v>
      </c>
      <c r="F93" t="s">
        <v>233</v>
      </c>
      <c r="G93" t="s">
        <v>7</v>
      </c>
      <c r="H93" t="s">
        <v>92</v>
      </c>
      <c r="J93">
        <v>48.682666310000002</v>
      </c>
      <c r="K93">
        <v>9.6712464090000001</v>
      </c>
      <c r="L93" t="s">
        <v>4</v>
      </c>
      <c r="M93">
        <v>0</v>
      </c>
      <c r="N93">
        <v>3.8284780000000002E-3</v>
      </c>
      <c r="O93">
        <v>2.2301759000000001E-2</v>
      </c>
      <c r="P93">
        <v>5.4641569000000001E-2</v>
      </c>
      <c r="Q93">
        <v>8.0944144999999995E-2</v>
      </c>
      <c r="R93">
        <v>0.11245498299999999</v>
      </c>
      <c r="S93">
        <v>0.11245498299999999</v>
      </c>
    </row>
    <row r="94" spans="1:19" x14ac:dyDescent="0.25">
      <c r="A94" t="s">
        <v>2</v>
      </c>
      <c r="B94" t="s">
        <v>88</v>
      </c>
      <c r="C94" t="s">
        <v>89</v>
      </c>
      <c r="D94" t="s">
        <v>3</v>
      </c>
      <c r="E94" t="s">
        <v>234</v>
      </c>
      <c r="F94" t="s">
        <v>235</v>
      </c>
      <c r="G94" t="s">
        <v>7</v>
      </c>
      <c r="H94" t="s">
        <v>92</v>
      </c>
      <c r="J94">
        <v>48.692656929999998</v>
      </c>
      <c r="K94">
        <v>9.0629316150000001</v>
      </c>
      <c r="L94" t="s">
        <v>4</v>
      </c>
      <c r="M94">
        <v>0</v>
      </c>
      <c r="N94">
        <v>3.3470940000000001E-3</v>
      </c>
      <c r="O94">
        <v>1.9497583999999998E-2</v>
      </c>
      <c r="P94">
        <v>4.7771056999999999E-2</v>
      </c>
      <c r="Q94">
        <v>7.0766403000000005E-2</v>
      </c>
      <c r="R94">
        <v>9.8315136999999997E-2</v>
      </c>
      <c r="S94">
        <v>9.8315136999999997E-2</v>
      </c>
    </row>
    <row r="95" spans="1:19" x14ac:dyDescent="0.25">
      <c r="A95" t="s">
        <v>2</v>
      </c>
      <c r="B95" t="s">
        <v>88</v>
      </c>
      <c r="C95" t="s">
        <v>89</v>
      </c>
      <c r="D95" t="s">
        <v>3</v>
      </c>
      <c r="E95" t="s">
        <v>236</v>
      </c>
      <c r="F95" t="s">
        <v>237</v>
      </c>
      <c r="G95" t="s">
        <v>7</v>
      </c>
      <c r="H95" t="s">
        <v>92</v>
      </c>
      <c r="J95">
        <v>48.812675980000002</v>
      </c>
      <c r="K95">
        <v>9.2192278539999997</v>
      </c>
      <c r="L95" t="s">
        <v>4</v>
      </c>
      <c r="M95">
        <v>0</v>
      </c>
      <c r="N95">
        <v>8.5276280000000006E-3</v>
      </c>
      <c r="O95">
        <v>4.9675373000000002E-2</v>
      </c>
      <c r="P95">
        <v>0.121709699</v>
      </c>
      <c r="Q95">
        <v>0.18029656899999999</v>
      </c>
      <c r="R95">
        <v>0.25048442700000001</v>
      </c>
      <c r="S95">
        <v>0.25048442700000001</v>
      </c>
    </row>
    <row r="96" spans="1:19" x14ac:dyDescent="0.25">
      <c r="A96" t="s">
        <v>2</v>
      </c>
      <c r="B96" t="s">
        <v>88</v>
      </c>
      <c r="C96" t="s">
        <v>89</v>
      </c>
      <c r="D96" t="s">
        <v>3</v>
      </c>
      <c r="E96" t="s">
        <v>238</v>
      </c>
      <c r="F96" t="s">
        <v>239</v>
      </c>
      <c r="G96" t="s">
        <v>7</v>
      </c>
      <c r="H96" t="s">
        <v>92</v>
      </c>
      <c r="J96">
        <v>48.764951609999997</v>
      </c>
      <c r="K96">
        <v>11.49198625</v>
      </c>
      <c r="L96" t="s">
        <v>4</v>
      </c>
      <c r="M96">
        <v>0</v>
      </c>
      <c r="N96">
        <v>5.4363629999999996E-3</v>
      </c>
      <c r="O96">
        <v>3.1668051000000003E-2</v>
      </c>
      <c r="P96">
        <v>7.7589933E-2</v>
      </c>
      <c r="Q96">
        <v>0.11493906299999999</v>
      </c>
      <c r="R96">
        <v>0.159683822</v>
      </c>
      <c r="S96">
        <v>0.159683822</v>
      </c>
    </row>
    <row r="97" spans="1:19" x14ac:dyDescent="0.25">
      <c r="A97" t="s">
        <v>2</v>
      </c>
      <c r="B97" t="s">
        <v>88</v>
      </c>
      <c r="C97" t="s">
        <v>89</v>
      </c>
      <c r="D97" t="s">
        <v>3</v>
      </c>
      <c r="E97" t="s">
        <v>123</v>
      </c>
      <c r="F97" t="s">
        <v>124</v>
      </c>
      <c r="G97" t="s">
        <v>7</v>
      </c>
      <c r="H97" t="s">
        <v>92</v>
      </c>
      <c r="J97">
        <v>49.310909559999999</v>
      </c>
      <c r="K97">
        <v>12.085679600000001</v>
      </c>
      <c r="L97" t="s">
        <v>4</v>
      </c>
      <c r="M97">
        <v>0</v>
      </c>
      <c r="N97">
        <v>9.5935810000000003E-3</v>
      </c>
      <c r="O97">
        <v>5.5884795000000001E-2</v>
      </c>
      <c r="P97">
        <v>0.13692341099999999</v>
      </c>
      <c r="Q97">
        <v>0.20283364000000001</v>
      </c>
      <c r="R97">
        <v>0.28179497999999997</v>
      </c>
      <c r="S97">
        <v>0.28179497999999997</v>
      </c>
    </row>
    <row r="98" spans="1:19" x14ac:dyDescent="0.25">
      <c r="A98" t="s">
        <v>2</v>
      </c>
      <c r="B98" t="s">
        <v>88</v>
      </c>
      <c r="C98" t="s">
        <v>89</v>
      </c>
      <c r="D98" t="s">
        <v>3</v>
      </c>
      <c r="E98" t="s">
        <v>240</v>
      </c>
      <c r="F98" t="s">
        <v>241</v>
      </c>
      <c r="G98" t="s">
        <v>7</v>
      </c>
      <c r="H98" t="s">
        <v>92</v>
      </c>
      <c r="J98">
        <v>49.43652823</v>
      </c>
      <c r="K98">
        <v>11.055938429999999</v>
      </c>
      <c r="L98" t="s">
        <v>4</v>
      </c>
      <c r="M98">
        <v>0</v>
      </c>
      <c r="N98">
        <v>4.9137850000000004E-3</v>
      </c>
      <c r="O98">
        <v>2.8623919000000001E-2</v>
      </c>
      <c r="P98">
        <v>7.0131502999999998E-2</v>
      </c>
      <c r="Q98">
        <v>0.10389040099999999</v>
      </c>
      <c r="R98">
        <v>0.14433401400000001</v>
      </c>
      <c r="S98">
        <v>0.14433401400000001</v>
      </c>
    </row>
    <row r="99" spans="1:19" x14ac:dyDescent="0.25">
      <c r="A99" t="s">
        <v>2</v>
      </c>
      <c r="B99" t="s">
        <v>88</v>
      </c>
      <c r="C99" t="s">
        <v>89</v>
      </c>
      <c r="D99" t="s">
        <v>3</v>
      </c>
      <c r="E99" t="s">
        <v>242</v>
      </c>
      <c r="F99" t="s">
        <v>243</v>
      </c>
      <c r="G99" t="s">
        <v>7</v>
      </c>
      <c r="H99" t="s">
        <v>92</v>
      </c>
      <c r="J99">
        <v>49.48472941</v>
      </c>
      <c r="K99">
        <v>8.4277331459999996</v>
      </c>
      <c r="L99" t="s">
        <v>4</v>
      </c>
      <c r="M99">
        <v>0</v>
      </c>
      <c r="N99">
        <v>5.1165769999999998E-3</v>
      </c>
      <c r="O99">
        <v>2.9805224000000002E-2</v>
      </c>
      <c r="P99">
        <v>7.3025819000000006E-2</v>
      </c>
      <c r="Q99">
        <v>0.108177941</v>
      </c>
      <c r="R99">
        <v>0.15029065599999999</v>
      </c>
      <c r="S99">
        <v>0.15029065599999999</v>
      </c>
    </row>
    <row r="100" spans="1:19" x14ac:dyDescent="0.25">
      <c r="A100" t="s">
        <v>2</v>
      </c>
      <c r="B100" t="s">
        <v>88</v>
      </c>
      <c r="C100" t="s">
        <v>89</v>
      </c>
      <c r="D100" t="s">
        <v>3</v>
      </c>
      <c r="E100" t="s">
        <v>244</v>
      </c>
      <c r="F100" t="s">
        <v>245</v>
      </c>
      <c r="G100" t="s">
        <v>7</v>
      </c>
      <c r="H100" t="s">
        <v>92</v>
      </c>
      <c r="J100">
        <v>49.228362009999998</v>
      </c>
      <c r="K100">
        <v>7.5947836420000003</v>
      </c>
      <c r="L100" t="s">
        <v>4</v>
      </c>
      <c r="M100">
        <v>0</v>
      </c>
      <c r="N100">
        <v>3.837432E-3</v>
      </c>
      <c r="O100">
        <v>2.2353918E-2</v>
      </c>
      <c r="P100">
        <v>5.4769364000000001E-2</v>
      </c>
      <c r="Q100">
        <v>8.1133456000000007E-2</v>
      </c>
      <c r="R100">
        <v>0.112717992</v>
      </c>
      <c r="S100">
        <v>0.112717992</v>
      </c>
    </row>
    <row r="101" spans="1:19" x14ac:dyDescent="0.25">
      <c r="A101" t="s">
        <v>2</v>
      </c>
      <c r="B101" t="s">
        <v>88</v>
      </c>
      <c r="C101" t="s">
        <v>89</v>
      </c>
      <c r="D101" t="s">
        <v>3</v>
      </c>
      <c r="E101" t="s">
        <v>246</v>
      </c>
      <c r="F101" t="s">
        <v>247</v>
      </c>
      <c r="G101" t="s">
        <v>7</v>
      </c>
      <c r="H101" t="s">
        <v>92</v>
      </c>
      <c r="J101">
        <v>49.338381650000002</v>
      </c>
      <c r="K101">
        <v>7.1695241310000002</v>
      </c>
      <c r="L101" t="s">
        <v>4</v>
      </c>
      <c r="M101">
        <v>0</v>
      </c>
      <c r="N101">
        <v>3.837432E-3</v>
      </c>
      <c r="O101">
        <v>2.2353918E-2</v>
      </c>
      <c r="P101">
        <v>5.4769364000000001E-2</v>
      </c>
      <c r="Q101">
        <v>8.1133456000000007E-2</v>
      </c>
      <c r="R101">
        <v>0.112717992</v>
      </c>
      <c r="S101">
        <v>0.112717992</v>
      </c>
    </row>
    <row r="102" spans="1:19" x14ac:dyDescent="0.25">
      <c r="A102" t="s">
        <v>2</v>
      </c>
      <c r="B102" t="s">
        <v>88</v>
      </c>
      <c r="C102" t="s">
        <v>89</v>
      </c>
      <c r="D102" t="s">
        <v>3</v>
      </c>
      <c r="E102" t="s">
        <v>248</v>
      </c>
      <c r="F102" t="s">
        <v>249</v>
      </c>
      <c r="G102" t="s">
        <v>7</v>
      </c>
      <c r="H102" t="s">
        <v>92</v>
      </c>
      <c r="J102">
        <v>49.21418405</v>
      </c>
      <c r="K102">
        <v>6.8342256749999999</v>
      </c>
      <c r="L102" t="s">
        <v>4</v>
      </c>
      <c r="M102">
        <v>0</v>
      </c>
      <c r="N102">
        <v>5.4363629999999996E-3</v>
      </c>
      <c r="O102">
        <v>3.1668051000000003E-2</v>
      </c>
      <c r="P102">
        <v>7.7589933E-2</v>
      </c>
      <c r="Q102">
        <v>0.11493906299999999</v>
      </c>
      <c r="R102">
        <v>0.159683822</v>
      </c>
      <c r="S102">
        <v>0.159683822</v>
      </c>
    </row>
    <row r="103" spans="1:19" x14ac:dyDescent="0.25">
      <c r="A103" t="s">
        <v>2</v>
      </c>
      <c r="B103" t="s">
        <v>88</v>
      </c>
      <c r="C103" t="s">
        <v>89</v>
      </c>
      <c r="D103" t="s">
        <v>3</v>
      </c>
      <c r="E103" t="s">
        <v>250</v>
      </c>
      <c r="F103" t="s">
        <v>251</v>
      </c>
      <c r="G103" t="s">
        <v>7</v>
      </c>
      <c r="H103" t="s">
        <v>92</v>
      </c>
      <c r="J103">
        <v>49.524153130000002</v>
      </c>
      <c r="K103">
        <v>8.452034823</v>
      </c>
      <c r="L103" t="s">
        <v>4</v>
      </c>
      <c r="M103">
        <v>0</v>
      </c>
      <c r="N103">
        <v>1.4923347999999999E-2</v>
      </c>
      <c r="O103">
        <v>8.6931904000000004E-2</v>
      </c>
      <c r="P103">
        <v>0.212991972</v>
      </c>
      <c r="Q103">
        <v>0.31551899500000002</v>
      </c>
      <c r="R103">
        <v>0.43834774700000001</v>
      </c>
      <c r="S103">
        <v>0.43834774700000001</v>
      </c>
    </row>
    <row r="104" spans="1:19" x14ac:dyDescent="0.25">
      <c r="A104" t="s">
        <v>2</v>
      </c>
      <c r="B104" t="s">
        <v>88</v>
      </c>
      <c r="C104" t="s">
        <v>89</v>
      </c>
      <c r="D104" t="s">
        <v>3</v>
      </c>
      <c r="E104" t="s">
        <v>252</v>
      </c>
      <c r="F104" t="s">
        <v>253</v>
      </c>
      <c r="G104" t="s">
        <v>7</v>
      </c>
      <c r="H104" t="s">
        <v>92</v>
      </c>
      <c r="J104">
        <v>49.9112607</v>
      </c>
      <c r="K104">
        <v>10.8544523</v>
      </c>
      <c r="L104" t="s">
        <v>4</v>
      </c>
      <c r="M104">
        <v>0</v>
      </c>
      <c r="N104">
        <v>2.5445160000000001E-3</v>
      </c>
      <c r="O104">
        <v>1.4822386E-2</v>
      </c>
      <c r="P104">
        <v>3.6316347999999998E-2</v>
      </c>
      <c r="Q104">
        <v>5.3797791999999997E-2</v>
      </c>
      <c r="R104">
        <v>7.4740795999999998E-2</v>
      </c>
      <c r="S104">
        <v>7.4740795999999998E-2</v>
      </c>
    </row>
    <row r="105" spans="1:19" x14ac:dyDescent="0.25">
      <c r="A105" t="s">
        <v>2</v>
      </c>
      <c r="B105" t="s">
        <v>88</v>
      </c>
      <c r="C105" t="s">
        <v>89</v>
      </c>
      <c r="D105" t="s">
        <v>3</v>
      </c>
      <c r="E105" t="s">
        <v>254</v>
      </c>
      <c r="F105" t="s">
        <v>255</v>
      </c>
      <c r="G105" t="s">
        <v>7</v>
      </c>
      <c r="H105" t="s">
        <v>92</v>
      </c>
      <c r="J105">
        <v>50.284546259999999</v>
      </c>
      <c r="K105">
        <v>10.9548916</v>
      </c>
      <c r="L105" t="s">
        <v>4</v>
      </c>
      <c r="M105">
        <v>0</v>
      </c>
      <c r="N105">
        <v>3.0273079999999998E-3</v>
      </c>
      <c r="O105">
        <v>1.7634758E-2</v>
      </c>
      <c r="P105">
        <v>4.3206942999999998E-2</v>
      </c>
      <c r="Q105">
        <v>6.4005281999999997E-2</v>
      </c>
      <c r="R105">
        <v>8.8921971000000002E-2</v>
      </c>
      <c r="S105">
        <v>8.8921971000000002E-2</v>
      </c>
    </row>
    <row r="106" spans="1:19" x14ac:dyDescent="0.25">
      <c r="A106" t="s">
        <v>2</v>
      </c>
      <c r="B106" t="s">
        <v>88</v>
      </c>
      <c r="C106" t="s">
        <v>89</v>
      </c>
      <c r="D106" t="s">
        <v>3</v>
      </c>
      <c r="E106" t="s">
        <v>256</v>
      </c>
      <c r="F106" t="s">
        <v>257</v>
      </c>
      <c r="G106" t="s">
        <v>7</v>
      </c>
      <c r="H106" t="s">
        <v>92</v>
      </c>
      <c r="J106">
        <v>50.030026589999999</v>
      </c>
      <c r="K106">
        <v>10.22397774</v>
      </c>
      <c r="L106" t="s">
        <v>4</v>
      </c>
      <c r="M106">
        <v>0</v>
      </c>
      <c r="N106">
        <v>4.1742740000000004E-3</v>
      </c>
      <c r="O106">
        <v>2.4316094999999999E-2</v>
      </c>
      <c r="P106">
        <v>5.9576896999999997E-2</v>
      </c>
      <c r="Q106">
        <v>8.8255169999999994E-2</v>
      </c>
      <c r="R106">
        <v>0.122612127</v>
      </c>
      <c r="S106">
        <v>0.122612127</v>
      </c>
    </row>
    <row r="107" spans="1:19" x14ac:dyDescent="0.25">
      <c r="A107" t="s">
        <v>2</v>
      </c>
      <c r="B107" t="s">
        <v>88</v>
      </c>
      <c r="C107" t="s">
        <v>89</v>
      </c>
      <c r="D107" t="s">
        <v>3</v>
      </c>
      <c r="E107" t="s">
        <v>258</v>
      </c>
      <c r="F107" t="s">
        <v>259</v>
      </c>
      <c r="G107" t="s">
        <v>7</v>
      </c>
      <c r="H107" t="s">
        <v>92</v>
      </c>
      <c r="J107">
        <v>49.79306038</v>
      </c>
      <c r="K107">
        <v>9.9938927960000008</v>
      </c>
      <c r="L107" t="s">
        <v>4</v>
      </c>
      <c r="M107">
        <v>0</v>
      </c>
      <c r="N107">
        <v>4.2638140000000003E-3</v>
      </c>
      <c r="O107">
        <v>2.4837687000000001E-2</v>
      </c>
      <c r="P107">
        <v>6.0854849000000003E-2</v>
      </c>
      <c r="Q107">
        <v>9.0148283999999995E-2</v>
      </c>
      <c r="R107">
        <v>0.12524221299999999</v>
      </c>
      <c r="S107">
        <v>0.12524221299999999</v>
      </c>
    </row>
    <row r="108" spans="1:19" x14ac:dyDescent="0.25">
      <c r="A108" t="s">
        <v>2</v>
      </c>
      <c r="B108" t="s">
        <v>88</v>
      </c>
      <c r="C108" t="s">
        <v>89</v>
      </c>
      <c r="D108" t="s">
        <v>3</v>
      </c>
      <c r="E108" t="s">
        <v>260</v>
      </c>
      <c r="F108" t="s">
        <v>261</v>
      </c>
      <c r="G108" t="s">
        <v>7</v>
      </c>
      <c r="H108" t="s">
        <v>92</v>
      </c>
      <c r="J108">
        <v>50.065175170000003</v>
      </c>
      <c r="K108">
        <v>8.7686207950000004</v>
      </c>
      <c r="L108" t="s">
        <v>4</v>
      </c>
      <c r="M108">
        <v>0</v>
      </c>
      <c r="N108">
        <v>6.395721E-3</v>
      </c>
      <c r="O108">
        <v>3.7256530000000003E-2</v>
      </c>
      <c r="P108">
        <v>9.1282273999999997E-2</v>
      </c>
      <c r="Q108">
        <v>0.13522242700000001</v>
      </c>
      <c r="R108">
        <v>0.18786332</v>
      </c>
      <c r="S108">
        <v>0.18786332</v>
      </c>
    </row>
    <row r="109" spans="1:19" x14ac:dyDescent="0.25">
      <c r="A109" t="s">
        <v>2</v>
      </c>
      <c r="B109" t="s">
        <v>88</v>
      </c>
      <c r="C109" t="s">
        <v>89</v>
      </c>
      <c r="D109" t="s">
        <v>3</v>
      </c>
      <c r="E109" t="s">
        <v>262</v>
      </c>
      <c r="F109" t="s">
        <v>263</v>
      </c>
      <c r="G109" t="s">
        <v>7</v>
      </c>
      <c r="H109" t="s">
        <v>92</v>
      </c>
      <c r="J109">
        <v>50.161785950000002</v>
      </c>
      <c r="K109">
        <v>8.635333481</v>
      </c>
      <c r="L109" t="s">
        <v>4</v>
      </c>
      <c r="M109">
        <v>0</v>
      </c>
      <c r="N109">
        <v>1.4390372E-2</v>
      </c>
      <c r="O109">
        <v>8.3827192999999994E-2</v>
      </c>
      <c r="P109">
        <v>0.20538511600000001</v>
      </c>
      <c r="Q109">
        <v>0.30425046</v>
      </c>
      <c r="R109">
        <v>0.42269246999999999</v>
      </c>
      <c r="S109">
        <v>0.42269246999999999</v>
      </c>
    </row>
    <row r="110" spans="1:19" x14ac:dyDescent="0.25">
      <c r="A110" t="s">
        <v>2</v>
      </c>
      <c r="B110" t="s">
        <v>88</v>
      </c>
      <c r="C110" t="s">
        <v>89</v>
      </c>
      <c r="D110" t="s">
        <v>3</v>
      </c>
      <c r="E110" t="s">
        <v>113</v>
      </c>
      <c r="F110" t="s">
        <v>114</v>
      </c>
      <c r="G110" t="s">
        <v>7</v>
      </c>
      <c r="H110" t="s">
        <v>92</v>
      </c>
      <c r="J110">
        <v>50.02556878</v>
      </c>
      <c r="K110">
        <v>8.2429430860000004</v>
      </c>
      <c r="L110" t="s">
        <v>4</v>
      </c>
      <c r="M110">
        <v>0</v>
      </c>
      <c r="N110">
        <v>7.2484840000000004E-3</v>
      </c>
      <c r="O110">
        <v>4.2224066999999997E-2</v>
      </c>
      <c r="P110">
        <v>0.103453244</v>
      </c>
      <c r="Q110">
        <v>0.15325208300000001</v>
      </c>
      <c r="R110">
        <v>0.212911763</v>
      </c>
      <c r="S110">
        <v>0.212911763</v>
      </c>
    </row>
    <row r="111" spans="1:19" x14ac:dyDescent="0.25">
      <c r="A111" t="s">
        <v>2</v>
      </c>
      <c r="B111" t="s">
        <v>88</v>
      </c>
      <c r="C111" t="s">
        <v>89</v>
      </c>
      <c r="D111" t="s">
        <v>3</v>
      </c>
      <c r="E111" t="s">
        <v>113</v>
      </c>
      <c r="F111" t="s">
        <v>114</v>
      </c>
      <c r="G111" t="s">
        <v>7</v>
      </c>
      <c r="H111" t="s">
        <v>92</v>
      </c>
      <c r="J111">
        <v>50.042577919999999</v>
      </c>
      <c r="K111">
        <v>8.2625523960000002</v>
      </c>
      <c r="L111" t="s">
        <v>4</v>
      </c>
      <c r="M111">
        <v>0</v>
      </c>
      <c r="N111">
        <v>4.1572179999999999E-3</v>
      </c>
      <c r="O111">
        <v>2.4216745000000001E-2</v>
      </c>
      <c r="P111">
        <v>5.9333478000000002E-2</v>
      </c>
      <c r="Q111">
        <v>8.7894577000000002E-2</v>
      </c>
      <c r="R111">
        <v>0.122111158</v>
      </c>
      <c r="S111">
        <v>0.122111158</v>
      </c>
    </row>
    <row r="112" spans="1:19" x14ac:dyDescent="0.25">
      <c r="A112" t="s">
        <v>2</v>
      </c>
      <c r="B112" t="s">
        <v>88</v>
      </c>
      <c r="C112" t="s">
        <v>89</v>
      </c>
      <c r="D112" t="s">
        <v>3</v>
      </c>
      <c r="E112" t="s">
        <v>262</v>
      </c>
      <c r="F112" t="s">
        <v>263</v>
      </c>
      <c r="G112" t="s">
        <v>7</v>
      </c>
      <c r="H112" t="s">
        <v>92</v>
      </c>
      <c r="J112">
        <v>50.07995081</v>
      </c>
      <c r="K112">
        <v>8.5324263560000002</v>
      </c>
      <c r="L112" t="s">
        <v>4</v>
      </c>
      <c r="M112">
        <v>0</v>
      </c>
      <c r="N112">
        <v>1.4923347999999999E-2</v>
      </c>
      <c r="O112">
        <v>8.6931904000000004E-2</v>
      </c>
      <c r="P112">
        <v>0.212991972</v>
      </c>
      <c r="Q112">
        <v>0.31551899500000002</v>
      </c>
      <c r="R112">
        <v>0.43834774700000001</v>
      </c>
      <c r="S112">
        <v>0.43834774700000001</v>
      </c>
    </row>
    <row r="113" spans="1:19" x14ac:dyDescent="0.25">
      <c r="A113" t="s">
        <v>2</v>
      </c>
      <c r="B113" t="s">
        <v>88</v>
      </c>
      <c r="C113" t="s">
        <v>89</v>
      </c>
      <c r="D113" t="s">
        <v>3</v>
      </c>
      <c r="E113" t="s">
        <v>264</v>
      </c>
      <c r="F113" t="s">
        <v>265</v>
      </c>
      <c r="G113" t="s">
        <v>7</v>
      </c>
      <c r="H113" t="s">
        <v>92</v>
      </c>
      <c r="J113">
        <v>49.883550450000001</v>
      </c>
      <c r="K113">
        <v>8.6452617810000003</v>
      </c>
      <c r="L113" t="s">
        <v>4</v>
      </c>
      <c r="M113">
        <v>0</v>
      </c>
      <c r="N113">
        <v>4.5196400000000001E-4</v>
      </c>
      <c r="O113">
        <v>2.6327949999999998E-3</v>
      </c>
      <c r="P113">
        <v>6.4506140000000003E-3</v>
      </c>
      <c r="Q113">
        <v>9.5557179999999995E-3</v>
      </c>
      <c r="R113">
        <v>1.3275675000000001E-2</v>
      </c>
      <c r="S113">
        <v>1.3275675000000001E-2</v>
      </c>
    </row>
    <row r="114" spans="1:19" x14ac:dyDescent="0.25">
      <c r="A114" t="s">
        <v>2</v>
      </c>
      <c r="B114" t="s">
        <v>88</v>
      </c>
      <c r="C114" t="s">
        <v>89</v>
      </c>
      <c r="D114" t="s">
        <v>3</v>
      </c>
      <c r="E114" t="s">
        <v>266</v>
      </c>
      <c r="F114" t="s">
        <v>267</v>
      </c>
      <c r="G114" t="s">
        <v>7</v>
      </c>
      <c r="H114" t="s">
        <v>92</v>
      </c>
      <c r="J114">
        <v>50.686880760000001</v>
      </c>
      <c r="K114">
        <v>11.33025072</v>
      </c>
      <c r="L114" t="s">
        <v>4</v>
      </c>
      <c r="M114">
        <v>0</v>
      </c>
      <c r="N114">
        <v>1.705526E-3</v>
      </c>
      <c r="O114">
        <v>9.9350749999999998E-3</v>
      </c>
      <c r="P114">
        <v>2.4341939999999999E-2</v>
      </c>
      <c r="Q114">
        <v>3.6059314000000002E-2</v>
      </c>
      <c r="R114">
        <v>5.0096885000000001E-2</v>
      </c>
      <c r="S114">
        <v>5.0096885000000001E-2</v>
      </c>
    </row>
    <row r="115" spans="1:19" x14ac:dyDescent="0.25">
      <c r="A115" t="s">
        <v>2</v>
      </c>
      <c r="B115" t="s">
        <v>88</v>
      </c>
      <c r="C115" t="s">
        <v>89</v>
      </c>
      <c r="D115" t="s">
        <v>3</v>
      </c>
      <c r="E115" t="s">
        <v>268</v>
      </c>
      <c r="F115" t="s">
        <v>269</v>
      </c>
      <c r="G115" t="s">
        <v>7</v>
      </c>
      <c r="H115" t="s">
        <v>92</v>
      </c>
      <c r="J115">
        <v>50.638619630000001</v>
      </c>
      <c r="K115">
        <v>10.68675861</v>
      </c>
      <c r="L115" t="s">
        <v>4</v>
      </c>
      <c r="M115">
        <v>0</v>
      </c>
      <c r="N115">
        <v>3.411051E-3</v>
      </c>
      <c r="O115">
        <v>1.9870149E-2</v>
      </c>
      <c r="P115">
        <v>4.8683878999999999E-2</v>
      </c>
      <c r="Q115">
        <v>7.2118627000000005E-2</v>
      </c>
      <c r="R115">
        <v>0.100193771</v>
      </c>
      <c r="S115">
        <v>0.100193771</v>
      </c>
    </row>
    <row r="116" spans="1:19" x14ac:dyDescent="0.25">
      <c r="A116" t="s">
        <v>2</v>
      </c>
      <c r="B116" t="s">
        <v>88</v>
      </c>
      <c r="C116" t="s">
        <v>89</v>
      </c>
      <c r="D116" t="s">
        <v>3</v>
      </c>
      <c r="E116" t="s">
        <v>270</v>
      </c>
      <c r="F116" t="s">
        <v>271</v>
      </c>
      <c r="G116" t="s">
        <v>7</v>
      </c>
      <c r="H116" t="s">
        <v>92</v>
      </c>
      <c r="J116">
        <v>50.567930369999999</v>
      </c>
      <c r="K116">
        <v>8.6788467249999997</v>
      </c>
      <c r="L116" t="s">
        <v>4</v>
      </c>
      <c r="M116">
        <v>0</v>
      </c>
      <c r="N116">
        <v>1.108592E-3</v>
      </c>
      <c r="O116">
        <v>6.4577990000000002E-3</v>
      </c>
      <c r="P116">
        <v>1.5822261000000001E-2</v>
      </c>
      <c r="Q116">
        <v>2.3438554E-2</v>
      </c>
      <c r="R116">
        <v>3.2562975000000001E-2</v>
      </c>
      <c r="S116">
        <v>3.2562975000000001E-2</v>
      </c>
    </row>
    <row r="117" spans="1:19" x14ac:dyDescent="0.25">
      <c r="A117" t="s">
        <v>2</v>
      </c>
      <c r="B117" t="s">
        <v>88</v>
      </c>
      <c r="C117" t="s">
        <v>89</v>
      </c>
      <c r="D117" t="s">
        <v>3</v>
      </c>
      <c r="E117" t="s">
        <v>272</v>
      </c>
      <c r="F117" t="s">
        <v>273</v>
      </c>
      <c r="G117" t="s">
        <v>7</v>
      </c>
      <c r="H117" t="s">
        <v>92</v>
      </c>
      <c r="J117">
        <v>50.434591400000002</v>
      </c>
      <c r="K117">
        <v>7.4319558109999999</v>
      </c>
      <c r="L117" t="s">
        <v>4</v>
      </c>
      <c r="M117">
        <v>0</v>
      </c>
      <c r="N117">
        <v>2.98467E-3</v>
      </c>
      <c r="O117">
        <v>1.7386380999999999E-2</v>
      </c>
      <c r="P117">
        <v>4.2598393999999998E-2</v>
      </c>
      <c r="Q117">
        <v>6.3103799000000002E-2</v>
      </c>
      <c r="R117">
        <v>8.7669548999999999E-2</v>
      </c>
      <c r="S117">
        <v>8.7669548999999999E-2</v>
      </c>
    </row>
    <row r="118" spans="1:19" x14ac:dyDescent="0.25">
      <c r="A118" t="s">
        <v>2</v>
      </c>
      <c r="B118" t="s">
        <v>88</v>
      </c>
      <c r="C118" t="s">
        <v>89</v>
      </c>
      <c r="D118" t="s">
        <v>3</v>
      </c>
      <c r="E118" t="s">
        <v>274</v>
      </c>
      <c r="F118" t="s">
        <v>275</v>
      </c>
      <c r="G118" t="s">
        <v>7</v>
      </c>
      <c r="H118" t="s">
        <v>92</v>
      </c>
      <c r="J118">
        <v>51.019662080000003</v>
      </c>
      <c r="K118">
        <v>11.04083041</v>
      </c>
      <c r="L118" t="s">
        <v>4</v>
      </c>
      <c r="M118">
        <v>0</v>
      </c>
      <c r="N118">
        <v>1.5989299999999999E-3</v>
      </c>
      <c r="O118">
        <v>9.3141330000000005E-3</v>
      </c>
      <c r="P118">
        <v>2.2820567999999999E-2</v>
      </c>
      <c r="Q118">
        <v>3.3805607000000001E-2</v>
      </c>
      <c r="R118">
        <v>4.696583E-2</v>
      </c>
      <c r="S118">
        <v>4.696583E-2</v>
      </c>
    </row>
    <row r="119" spans="1:19" x14ac:dyDescent="0.25">
      <c r="A119" t="s">
        <v>2</v>
      </c>
      <c r="B119" t="s">
        <v>88</v>
      </c>
      <c r="C119" t="s">
        <v>89</v>
      </c>
      <c r="D119" t="s">
        <v>3</v>
      </c>
      <c r="E119" t="s">
        <v>276</v>
      </c>
      <c r="F119" t="s">
        <v>277</v>
      </c>
      <c r="G119" t="s">
        <v>7</v>
      </c>
      <c r="H119" t="s">
        <v>92</v>
      </c>
      <c r="J119">
        <v>50.893422319999999</v>
      </c>
      <c r="K119">
        <v>10.00017514</v>
      </c>
      <c r="L119" t="s">
        <v>4</v>
      </c>
      <c r="M119">
        <v>0</v>
      </c>
      <c r="N119">
        <v>6.344555E-3</v>
      </c>
      <c r="O119">
        <v>3.6958478000000003E-2</v>
      </c>
      <c r="P119">
        <v>9.0552015999999999E-2</v>
      </c>
      <c r="Q119">
        <v>0.134140647</v>
      </c>
      <c r="R119">
        <v>0.186360413</v>
      </c>
      <c r="S119">
        <v>0.186360413</v>
      </c>
    </row>
    <row r="120" spans="1:19" x14ac:dyDescent="0.25">
      <c r="A120" t="s">
        <v>2</v>
      </c>
      <c r="B120" t="s">
        <v>88</v>
      </c>
      <c r="C120" t="s">
        <v>89</v>
      </c>
      <c r="D120" t="s">
        <v>3</v>
      </c>
      <c r="E120" t="s">
        <v>278</v>
      </c>
      <c r="F120" t="s">
        <v>279</v>
      </c>
      <c r="G120" t="s">
        <v>7</v>
      </c>
      <c r="H120" t="s">
        <v>92</v>
      </c>
      <c r="J120">
        <v>50.73387829</v>
      </c>
      <c r="K120">
        <v>7.0774461679999998</v>
      </c>
      <c r="L120" t="s">
        <v>4</v>
      </c>
      <c r="M120">
        <v>0</v>
      </c>
      <c r="N120">
        <v>5.5429579999999997E-3</v>
      </c>
      <c r="O120">
        <v>3.2288993000000002E-2</v>
      </c>
      <c r="P120">
        <v>7.9111303999999993E-2</v>
      </c>
      <c r="Q120">
        <v>0.11719277</v>
      </c>
      <c r="R120">
        <v>0.162814877</v>
      </c>
      <c r="S120">
        <v>0.162814877</v>
      </c>
    </row>
    <row r="121" spans="1:19" x14ac:dyDescent="0.25">
      <c r="A121" t="s">
        <v>2</v>
      </c>
      <c r="B121" t="s">
        <v>88</v>
      </c>
      <c r="C121" t="s">
        <v>89</v>
      </c>
      <c r="D121" t="s">
        <v>3</v>
      </c>
      <c r="E121" t="s">
        <v>280</v>
      </c>
      <c r="F121" t="s">
        <v>281</v>
      </c>
      <c r="G121" t="s">
        <v>7</v>
      </c>
      <c r="H121" t="s">
        <v>92</v>
      </c>
      <c r="J121">
        <v>50.857043779999998</v>
      </c>
      <c r="K121">
        <v>6.8430443250000001</v>
      </c>
      <c r="L121" t="s">
        <v>4</v>
      </c>
      <c r="M121">
        <v>0</v>
      </c>
      <c r="N121">
        <v>6.822102E-3</v>
      </c>
      <c r="O121">
        <v>3.9740299E-2</v>
      </c>
      <c r="P121">
        <v>9.7367758999999998E-2</v>
      </c>
      <c r="Q121">
        <v>0.14423725500000001</v>
      </c>
      <c r="R121">
        <v>0.200387541</v>
      </c>
      <c r="S121">
        <v>0.200387541</v>
      </c>
    </row>
    <row r="122" spans="1:19" x14ac:dyDescent="0.25">
      <c r="A122" t="s">
        <v>2</v>
      </c>
      <c r="B122" t="s">
        <v>88</v>
      </c>
      <c r="C122" t="s">
        <v>89</v>
      </c>
      <c r="D122" t="s">
        <v>3</v>
      </c>
      <c r="E122" t="s">
        <v>282</v>
      </c>
      <c r="F122" t="s">
        <v>283</v>
      </c>
      <c r="G122" t="s">
        <v>7</v>
      </c>
      <c r="H122" t="s">
        <v>92</v>
      </c>
      <c r="J122">
        <v>50.840744149999999</v>
      </c>
      <c r="K122">
        <v>6.3146604079999999</v>
      </c>
      <c r="L122" t="s">
        <v>4</v>
      </c>
      <c r="M122">
        <v>0</v>
      </c>
      <c r="N122">
        <v>7.6748650000000003E-3</v>
      </c>
      <c r="O122">
        <v>4.4707836000000001E-2</v>
      </c>
      <c r="P122">
        <v>0.109538729</v>
      </c>
      <c r="Q122">
        <v>0.16226691200000001</v>
      </c>
      <c r="R122">
        <v>0.22543598400000001</v>
      </c>
      <c r="S122">
        <v>0.22543598400000001</v>
      </c>
    </row>
    <row r="123" spans="1:19" x14ac:dyDescent="0.25">
      <c r="A123" t="s">
        <v>2</v>
      </c>
      <c r="B123" t="s">
        <v>88</v>
      </c>
      <c r="C123" t="s">
        <v>89</v>
      </c>
      <c r="D123" t="s">
        <v>3</v>
      </c>
      <c r="E123" t="s">
        <v>284</v>
      </c>
      <c r="F123" t="s">
        <v>285</v>
      </c>
      <c r="G123" t="s">
        <v>7</v>
      </c>
      <c r="H123" t="s">
        <v>92</v>
      </c>
      <c r="J123">
        <v>51.000084209999997</v>
      </c>
      <c r="K123">
        <v>6.9410077780000004</v>
      </c>
      <c r="L123" t="s">
        <v>4</v>
      </c>
      <c r="M123">
        <v>0</v>
      </c>
      <c r="N123">
        <v>1.6735468999999999E-2</v>
      </c>
      <c r="O123">
        <v>9.7487920000000006E-2</v>
      </c>
      <c r="P123">
        <v>0.238855283</v>
      </c>
      <c r="Q123">
        <v>0.35383201600000003</v>
      </c>
      <c r="R123">
        <v>0.49157568699999998</v>
      </c>
      <c r="S123">
        <v>0.49157568699999998</v>
      </c>
    </row>
    <row r="124" spans="1:19" x14ac:dyDescent="0.25">
      <c r="A124" t="s">
        <v>2</v>
      </c>
      <c r="B124" t="s">
        <v>88</v>
      </c>
      <c r="C124" t="s">
        <v>89</v>
      </c>
      <c r="D124" t="s">
        <v>3</v>
      </c>
      <c r="E124" t="s">
        <v>286</v>
      </c>
      <c r="F124" t="s">
        <v>287</v>
      </c>
      <c r="G124" t="s">
        <v>7</v>
      </c>
      <c r="H124" t="s">
        <v>92</v>
      </c>
      <c r="J124">
        <v>51.043500209999998</v>
      </c>
      <c r="K124">
        <v>7.0033772010000002</v>
      </c>
      <c r="L124" t="s">
        <v>4</v>
      </c>
      <c r="M124">
        <v>0</v>
      </c>
      <c r="N124">
        <v>5.9761609999999998E-3</v>
      </c>
      <c r="O124">
        <v>3.4812502000000002E-2</v>
      </c>
      <c r="P124">
        <v>8.5294156999999995E-2</v>
      </c>
      <c r="Q124">
        <v>0.126351835</v>
      </c>
      <c r="R124">
        <v>0.17553948599999999</v>
      </c>
      <c r="S124">
        <v>0.17553948599999999</v>
      </c>
    </row>
    <row r="125" spans="1:19" x14ac:dyDescent="0.25">
      <c r="A125" t="s">
        <v>2</v>
      </c>
      <c r="B125" t="s">
        <v>88</v>
      </c>
      <c r="C125" t="s">
        <v>89</v>
      </c>
      <c r="D125" t="s">
        <v>3</v>
      </c>
      <c r="E125" t="s">
        <v>288</v>
      </c>
      <c r="F125" t="s">
        <v>289</v>
      </c>
      <c r="G125" t="s">
        <v>7</v>
      </c>
      <c r="H125" t="s">
        <v>92</v>
      </c>
      <c r="J125">
        <v>51.179356550000001</v>
      </c>
      <c r="K125">
        <v>7.0718129559999996</v>
      </c>
      <c r="L125" t="s">
        <v>4</v>
      </c>
      <c r="M125">
        <v>0</v>
      </c>
      <c r="N125">
        <v>3.7308369999999999E-3</v>
      </c>
      <c r="O125">
        <v>2.1732976000000001E-2</v>
      </c>
      <c r="P125">
        <v>5.3247993E-2</v>
      </c>
      <c r="Q125">
        <v>7.8879748999999999E-2</v>
      </c>
      <c r="R125">
        <v>0.109586937</v>
      </c>
      <c r="S125">
        <v>0.109586937</v>
      </c>
    </row>
    <row r="126" spans="1:19" x14ac:dyDescent="0.25">
      <c r="A126" t="s">
        <v>2</v>
      </c>
      <c r="B126" t="s">
        <v>88</v>
      </c>
      <c r="C126" t="s">
        <v>89</v>
      </c>
      <c r="D126" t="s">
        <v>3</v>
      </c>
      <c r="E126" t="s">
        <v>148</v>
      </c>
      <c r="F126" t="s">
        <v>149</v>
      </c>
      <c r="G126" t="s">
        <v>7</v>
      </c>
      <c r="H126" t="s">
        <v>92</v>
      </c>
      <c r="J126">
        <v>51.225158819999997</v>
      </c>
      <c r="K126">
        <v>7.1421867929999996</v>
      </c>
      <c r="L126" t="s">
        <v>4</v>
      </c>
      <c r="M126">
        <v>0</v>
      </c>
      <c r="N126">
        <v>9.1778169999999996E-3</v>
      </c>
      <c r="O126">
        <v>5.3462872000000002E-2</v>
      </c>
      <c r="P126">
        <v>0.130989455</v>
      </c>
      <c r="Q126">
        <v>0.19404328100000001</v>
      </c>
      <c r="R126">
        <v>0.269582612</v>
      </c>
      <c r="S126">
        <v>0.269582612</v>
      </c>
    </row>
    <row r="127" spans="1:19" x14ac:dyDescent="0.25">
      <c r="A127" t="s">
        <v>2</v>
      </c>
      <c r="B127" t="s">
        <v>88</v>
      </c>
      <c r="C127" t="s">
        <v>89</v>
      </c>
      <c r="D127" t="s">
        <v>3</v>
      </c>
      <c r="E127" t="s">
        <v>290</v>
      </c>
      <c r="F127" t="s">
        <v>291</v>
      </c>
      <c r="G127" t="s">
        <v>7</v>
      </c>
      <c r="H127" t="s">
        <v>92</v>
      </c>
      <c r="J127">
        <v>51.225213240000002</v>
      </c>
      <c r="K127">
        <v>6.8231294729999998</v>
      </c>
      <c r="L127" t="s">
        <v>4</v>
      </c>
      <c r="M127">
        <v>0</v>
      </c>
      <c r="N127">
        <v>9.5935810000000003E-3</v>
      </c>
      <c r="O127">
        <v>5.5884795000000001E-2</v>
      </c>
      <c r="P127">
        <v>0.13692341099999999</v>
      </c>
      <c r="Q127">
        <v>0.20283364000000001</v>
      </c>
      <c r="R127">
        <v>0.28179497999999997</v>
      </c>
      <c r="S127">
        <v>0.28179497999999997</v>
      </c>
    </row>
    <row r="128" spans="1:19" x14ac:dyDescent="0.25">
      <c r="A128" t="s">
        <v>2</v>
      </c>
      <c r="B128" t="s">
        <v>88</v>
      </c>
      <c r="C128" t="s">
        <v>89</v>
      </c>
      <c r="D128" t="s">
        <v>3</v>
      </c>
      <c r="E128" t="s">
        <v>168</v>
      </c>
      <c r="F128" t="s">
        <v>292</v>
      </c>
      <c r="G128" t="s">
        <v>7</v>
      </c>
      <c r="H128" t="s">
        <v>92</v>
      </c>
      <c r="J128">
        <v>51.397204600000002</v>
      </c>
      <c r="K128">
        <v>7.6966569219999998</v>
      </c>
      <c r="L128" t="s">
        <v>4</v>
      </c>
      <c r="M128">
        <v>0</v>
      </c>
      <c r="N128">
        <v>6.2891249999999996E-3</v>
      </c>
      <c r="O128">
        <v>3.6635587999999997E-2</v>
      </c>
      <c r="P128">
        <v>8.9760903000000003E-2</v>
      </c>
      <c r="Q128">
        <v>0.13296871900000001</v>
      </c>
      <c r="R128">
        <v>0.18473226500000001</v>
      </c>
      <c r="S128">
        <v>0.18473226500000001</v>
      </c>
    </row>
    <row r="129" spans="1:19" x14ac:dyDescent="0.25">
      <c r="A129" t="s">
        <v>2</v>
      </c>
      <c r="B129" t="s">
        <v>88</v>
      </c>
      <c r="C129" t="s">
        <v>89</v>
      </c>
      <c r="D129" t="s">
        <v>3</v>
      </c>
      <c r="E129" t="s">
        <v>293</v>
      </c>
      <c r="F129" t="s">
        <v>294</v>
      </c>
      <c r="G129" t="s">
        <v>7</v>
      </c>
      <c r="H129" t="s">
        <v>92</v>
      </c>
      <c r="J129">
        <v>51.377791610000003</v>
      </c>
      <c r="K129">
        <v>7.4708468669999997</v>
      </c>
      <c r="L129" t="s">
        <v>4</v>
      </c>
      <c r="M129">
        <v>0</v>
      </c>
      <c r="N129">
        <v>3.069946E-3</v>
      </c>
      <c r="O129">
        <v>1.7883133999999998E-2</v>
      </c>
      <c r="P129">
        <v>4.3815490999999998E-2</v>
      </c>
      <c r="Q129">
        <v>6.4906765000000005E-2</v>
      </c>
      <c r="R129">
        <v>9.0174394000000005E-2</v>
      </c>
      <c r="S129">
        <v>9.0174394000000005E-2</v>
      </c>
    </row>
    <row r="130" spans="1:19" x14ac:dyDescent="0.25">
      <c r="A130" t="s">
        <v>2</v>
      </c>
      <c r="B130" t="s">
        <v>88</v>
      </c>
      <c r="C130" t="s">
        <v>89</v>
      </c>
      <c r="D130" t="s">
        <v>3</v>
      </c>
      <c r="E130" t="s">
        <v>295</v>
      </c>
      <c r="F130" t="s">
        <v>296</v>
      </c>
      <c r="G130" t="s">
        <v>7</v>
      </c>
      <c r="H130" t="s">
        <v>92</v>
      </c>
      <c r="J130">
        <v>51.378956539999997</v>
      </c>
      <c r="K130">
        <v>6.6352114750000002</v>
      </c>
      <c r="L130" t="s">
        <v>4</v>
      </c>
      <c r="M130">
        <v>0</v>
      </c>
      <c r="N130">
        <v>3.7308369999999999E-3</v>
      </c>
      <c r="O130">
        <v>2.1732976000000001E-2</v>
      </c>
      <c r="P130">
        <v>5.3247993E-2</v>
      </c>
      <c r="Q130">
        <v>7.8879748999999999E-2</v>
      </c>
      <c r="R130">
        <v>0.109586937</v>
      </c>
      <c r="S130">
        <v>0.109586937</v>
      </c>
    </row>
    <row r="131" spans="1:19" x14ac:dyDescent="0.25">
      <c r="A131" t="s">
        <v>2</v>
      </c>
      <c r="B131" t="s">
        <v>88</v>
      </c>
      <c r="C131" t="s">
        <v>89</v>
      </c>
      <c r="D131" t="s">
        <v>3</v>
      </c>
      <c r="E131" t="s">
        <v>297</v>
      </c>
      <c r="F131" t="s">
        <v>298</v>
      </c>
      <c r="G131" t="s">
        <v>7</v>
      </c>
      <c r="H131" t="s">
        <v>92</v>
      </c>
      <c r="J131">
        <v>51.680548989999998</v>
      </c>
      <c r="K131">
        <v>7.7440984549999996</v>
      </c>
      <c r="L131" t="s">
        <v>4</v>
      </c>
      <c r="M131">
        <v>0</v>
      </c>
      <c r="N131">
        <v>6.2891249999999996E-3</v>
      </c>
      <c r="O131">
        <v>3.6635587999999997E-2</v>
      </c>
      <c r="P131">
        <v>8.9760903000000003E-2</v>
      </c>
      <c r="Q131">
        <v>0.13296871900000001</v>
      </c>
      <c r="R131">
        <v>0.18473226500000001</v>
      </c>
      <c r="S131">
        <v>0.18473226500000001</v>
      </c>
    </row>
    <row r="132" spans="1:19" x14ac:dyDescent="0.25">
      <c r="A132" t="s">
        <v>2</v>
      </c>
      <c r="B132" t="s">
        <v>88</v>
      </c>
      <c r="C132" t="s">
        <v>89</v>
      </c>
      <c r="D132" t="s">
        <v>3</v>
      </c>
      <c r="E132" t="s">
        <v>299</v>
      </c>
      <c r="F132" t="s">
        <v>300</v>
      </c>
      <c r="G132" t="s">
        <v>7</v>
      </c>
      <c r="H132" t="s">
        <v>92</v>
      </c>
      <c r="J132">
        <v>51.556850369999999</v>
      </c>
      <c r="K132">
        <v>7.1675268279999997</v>
      </c>
      <c r="L132" t="s">
        <v>4</v>
      </c>
      <c r="M132">
        <v>0</v>
      </c>
      <c r="N132">
        <v>1.2791441000000001E-2</v>
      </c>
      <c r="O132">
        <v>7.4513060000000006E-2</v>
      </c>
      <c r="P132">
        <v>0.18256454799999999</v>
      </c>
      <c r="Q132">
        <v>0.27044485299999999</v>
      </c>
      <c r="R132">
        <v>0.37572664</v>
      </c>
      <c r="S132">
        <v>0.37572664</v>
      </c>
    </row>
    <row r="133" spans="1:19" x14ac:dyDescent="0.25">
      <c r="A133" t="s">
        <v>2</v>
      </c>
      <c r="B133" t="s">
        <v>88</v>
      </c>
      <c r="C133" t="s">
        <v>89</v>
      </c>
      <c r="D133" t="s">
        <v>3</v>
      </c>
      <c r="E133" t="s">
        <v>301</v>
      </c>
      <c r="F133" t="s">
        <v>302</v>
      </c>
      <c r="G133" t="s">
        <v>7</v>
      </c>
      <c r="H133" t="s">
        <v>92</v>
      </c>
      <c r="J133">
        <v>51.51560233</v>
      </c>
      <c r="K133">
        <v>6.9939033989999997</v>
      </c>
      <c r="L133" t="s">
        <v>4</v>
      </c>
      <c r="M133">
        <v>0</v>
      </c>
      <c r="N133">
        <v>1.5882706999999999E-2</v>
      </c>
      <c r="O133">
        <v>9.2520382999999998E-2</v>
      </c>
      <c r="P133">
        <v>0.226684314</v>
      </c>
      <c r="Q133">
        <v>0.33580235899999999</v>
      </c>
      <c r="R133">
        <v>0.46652724499999998</v>
      </c>
      <c r="S133">
        <v>0.46652724499999998</v>
      </c>
    </row>
    <row r="134" spans="1:19" x14ac:dyDescent="0.25">
      <c r="A134" t="s">
        <v>2</v>
      </c>
      <c r="B134" t="s">
        <v>88</v>
      </c>
      <c r="C134" t="s">
        <v>89</v>
      </c>
      <c r="D134" t="s">
        <v>3</v>
      </c>
      <c r="E134" t="s">
        <v>303</v>
      </c>
      <c r="F134" t="s">
        <v>304</v>
      </c>
      <c r="G134" t="s">
        <v>7</v>
      </c>
      <c r="H134" t="s">
        <v>92</v>
      </c>
      <c r="J134">
        <v>51.485149309999997</v>
      </c>
      <c r="K134">
        <v>6.8342344500000003</v>
      </c>
      <c r="L134" t="s">
        <v>4</v>
      </c>
      <c r="M134">
        <v>0</v>
      </c>
      <c r="N134">
        <v>1.4923347999999999E-2</v>
      </c>
      <c r="O134">
        <v>8.6931904000000004E-2</v>
      </c>
      <c r="P134">
        <v>0.212991972</v>
      </c>
      <c r="Q134">
        <v>0.31551899500000002</v>
      </c>
      <c r="R134">
        <v>0.43834774700000001</v>
      </c>
      <c r="S134">
        <v>0.43834774700000001</v>
      </c>
    </row>
    <row r="135" spans="1:19" x14ac:dyDescent="0.25">
      <c r="A135" t="s">
        <v>2</v>
      </c>
      <c r="B135" t="s">
        <v>88</v>
      </c>
      <c r="C135" t="s">
        <v>89</v>
      </c>
      <c r="D135" t="s">
        <v>3</v>
      </c>
      <c r="E135" t="s">
        <v>305</v>
      </c>
      <c r="F135" t="s">
        <v>306</v>
      </c>
      <c r="G135" t="s">
        <v>7</v>
      </c>
      <c r="H135" t="s">
        <v>92</v>
      </c>
      <c r="J135">
        <v>51.52172161</v>
      </c>
      <c r="K135">
        <v>6.5743393960000001</v>
      </c>
      <c r="L135" t="s">
        <v>4</v>
      </c>
      <c r="M135">
        <v>0</v>
      </c>
      <c r="N135">
        <v>5.7561490000000003E-3</v>
      </c>
      <c r="O135">
        <v>3.3530877000000001E-2</v>
      </c>
      <c r="P135">
        <v>8.2154046999999994E-2</v>
      </c>
      <c r="Q135">
        <v>0.121700184</v>
      </c>
      <c r="R135">
        <v>0.16907698800000001</v>
      </c>
      <c r="S135">
        <v>0.16907698800000001</v>
      </c>
    </row>
    <row r="136" spans="1:19" x14ac:dyDescent="0.25">
      <c r="A136" t="s">
        <v>2</v>
      </c>
      <c r="B136" t="s">
        <v>88</v>
      </c>
      <c r="C136" t="s">
        <v>89</v>
      </c>
      <c r="D136" t="s">
        <v>3</v>
      </c>
      <c r="E136" t="s">
        <v>307</v>
      </c>
      <c r="F136" t="s">
        <v>308</v>
      </c>
      <c r="G136" t="s">
        <v>7</v>
      </c>
      <c r="H136" t="s">
        <v>92</v>
      </c>
      <c r="J136">
        <v>52.042676559999997</v>
      </c>
      <c r="K136">
        <v>8.607725426</v>
      </c>
      <c r="L136" t="s">
        <v>4</v>
      </c>
      <c r="M136">
        <v>0</v>
      </c>
      <c r="N136">
        <v>8.5276280000000006E-3</v>
      </c>
      <c r="O136">
        <v>4.9675373000000002E-2</v>
      </c>
      <c r="P136">
        <v>0.121709699</v>
      </c>
      <c r="Q136">
        <v>0.18029656899999999</v>
      </c>
      <c r="R136">
        <v>0.25048442700000001</v>
      </c>
      <c r="S136">
        <v>0.25048442700000001</v>
      </c>
    </row>
    <row r="137" spans="1:19" x14ac:dyDescent="0.25">
      <c r="A137" t="s">
        <v>2</v>
      </c>
      <c r="B137" t="s">
        <v>88</v>
      </c>
      <c r="C137" t="s">
        <v>89</v>
      </c>
      <c r="D137" t="s">
        <v>3</v>
      </c>
      <c r="E137" t="s">
        <v>309</v>
      </c>
      <c r="F137" t="s">
        <v>310</v>
      </c>
      <c r="G137" t="s">
        <v>7</v>
      </c>
      <c r="H137" t="s">
        <v>92</v>
      </c>
      <c r="J137">
        <v>52.300836689999997</v>
      </c>
      <c r="K137">
        <v>8.9493251590000007</v>
      </c>
      <c r="L137" t="s">
        <v>4</v>
      </c>
      <c r="M137">
        <v>0</v>
      </c>
      <c r="N137">
        <v>8.5276280000000006E-3</v>
      </c>
      <c r="O137">
        <v>4.9675373000000002E-2</v>
      </c>
      <c r="P137">
        <v>0.121709699</v>
      </c>
      <c r="Q137">
        <v>0.18029656899999999</v>
      </c>
      <c r="R137">
        <v>0.25048442700000001</v>
      </c>
      <c r="S137">
        <v>0.25048442700000001</v>
      </c>
    </row>
    <row r="138" spans="1:19" x14ac:dyDescent="0.25">
      <c r="A138" t="s">
        <v>2</v>
      </c>
      <c r="B138" t="s">
        <v>88</v>
      </c>
      <c r="C138" t="s">
        <v>89</v>
      </c>
      <c r="D138" t="s">
        <v>3</v>
      </c>
      <c r="E138" t="s">
        <v>170</v>
      </c>
      <c r="F138" t="s">
        <v>171</v>
      </c>
      <c r="G138" t="s">
        <v>7</v>
      </c>
      <c r="H138" t="s">
        <v>92</v>
      </c>
      <c r="J138">
        <v>52.098190780000003</v>
      </c>
      <c r="K138">
        <v>9.3862909299999995</v>
      </c>
      <c r="L138" t="s">
        <v>4</v>
      </c>
      <c r="M138">
        <v>0</v>
      </c>
      <c r="N138">
        <v>7.4616739999999997E-3</v>
      </c>
      <c r="O138">
        <v>4.3465952000000002E-2</v>
      </c>
      <c r="P138">
        <v>0.106495986</v>
      </c>
      <c r="Q138">
        <v>0.157759498</v>
      </c>
      <c r="R138">
        <v>0.21917387299999999</v>
      </c>
      <c r="S138">
        <v>0.21917387299999999</v>
      </c>
    </row>
    <row r="139" spans="1:19" x14ac:dyDescent="0.25">
      <c r="A139" t="s">
        <v>2</v>
      </c>
      <c r="B139" t="s">
        <v>88</v>
      </c>
      <c r="C139" t="s">
        <v>89</v>
      </c>
      <c r="D139" t="s">
        <v>3</v>
      </c>
      <c r="E139" t="s">
        <v>103</v>
      </c>
      <c r="F139" t="s">
        <v>104</v>
      </c>
      <c r="G139" t="s">
        <v>7</v>
      </c>
      <c r="H139" t="s">
        <v>92</v>
      </c>
      <c r="J139">
        <v>52.411837230000003</v>
      </c>
      <c r="K139">
        <v>9.8534918190000003</v>
      </c>
      <c r="L139" t="s">
        <v>4</v>
      </c>
      <c r="M139">
        <v>0</v>
      </c>
      <c r="N139">
        <v>6.395721E-3</v>
      </c>
      <c r="O139">
        <v>3.7256530000000003E-2</v>
      </c>
      <c r="P139">
        <v>9.1282273999999997E-2</v>
      </c>
      <c r="Q139">
        <v>0.13522242700000001</v>
      </c>
      <c r="R139">
        <v>0.18786332</v>
      </c>
      <c r="S139">
        <v>0.18786332</v>
      </c>
    </row>
    <row r="140" spans="1:19" x14ac:dyDescent="0.25">
      <c r="A140" t="s">
        <v>2</v>
      </c>
      <c r="B140" t="s">
        <v>88</v>
      </c>
      <c r="C140" t="s">
        <v>89</v>
      </c>
      <c r="D140" t="s">
        <v>3</v>
      </c>
      <c r="E140" t="s">
        <v>311</v>
      </c>
      <c r="F140" t="s">
        <v>312</v>
      </c>
      <c r="G140" t="s">
        <v>7</v>
      </c>
      <c r="H140" t="s">
        <v>92</v>
      </c>
      <c r="J140">
        <v>52.223607170000001</v>
      </c>
      <c r="K140">
        <v>11.00983684</v>
      </c>
      <c r="L140" t="s">
        <v>4</v>
      </c>
      <c r="M140">
        <v>0</v>
      </c>
      <c r="N140">
        <v>1.1192511E-2</v>
      </c>
      <c r="O140">
        <v>6.5198928000000003E-2</v>
      </c>
      <c r="P140">
        <v>0.15974397900000001</v>
      </c>
      <c r="Q140">
        <v>0.236639246</v>
      </c>
      <c r="R140">
        <v>0.32876081000000001</v>
      </c>
      <c r="S140">
        <v>0.32876081000000001</v>
      </c>
    </row>
    <row r="141" spans="1:19" x14ac:dyDescent="0.25">
      <c r="A141" t="s">
        <v>2</v>
      </c>
      <c r="B141" t="s">
        <v>88</v>
      </c>
      <c r="C141" t="s">
        <v>89</v>
      </c>
      <c r="D141" t="s">
        <v>3</v>
      </c>
      <c r="E141" t="s">
        <v>313</v>
      </c>
      <c r="F141" t="s">
        <v>314</v>
      </c>
      <c r="G141" t="s">
        <v>7</v>
      </c>
      <c r="H141" t="s">
        <v>92</v>
      </c>
      <c r="J141">
        <v>51.315518419999997</v>
      </c>
      <c r="K141">
        <v>9.5285438229999997</v>
      </c>
      <c r="L141" t="s">
        <v>4</v>
      </c>
      <c r="M141">
        <v>0</v>
      </c>
      <c r="N141">
        <v>5.4576820000000002E-3</v>
      </c>
      <c r="O141">
        <v>3.1792239E-2</v>
      </c>
      <c r="P141">
        <v>7.7894206999999993E-2</v>
      </c>
      <c r="Q141">
        <v>0.115389804</v>
      </c>
      <c r="R141">
        <v>0.16031003299999999</v>
      </c>
      <c r="S141">
        <v>0.16031003299999999</v>
      </c>
    </row>
    <row r="142" spans="1:19" x14ac:dyDescent="0.25">
      <c r="A142" t="s">
        <v>2</v>
      </c>
      <c r="B142" t="s">
        <v>88</v>
      </c>
      <c r="C142" t="s">
        <v>89</v>
      </c>
      <c r="D142" t="s">
        <v>3</v>
      </c>
      <c r="E142" t="s">
        <v>184</v>
      </c>
      <c r="F142" t="s">
        <v>315</v>
      </c>
      <c r="G142" t="s">
        <v>7</v>
      </c>
      <c r="H142" t="s">
        <v>92</v>
      </c>
      <c r="J142">
        <v>51.318295470000002</v>
      </c>
      <c r="K142">
        <v>9.8488889969999995</v>
      </c>
      <c r="L142" t="s">
        <v>4</v>
      </c>
      <c r="M142">
        <v>0</v>
      </c>
      <c r="N142">
        <v>7.0352929999999998E-3</v>
      </c>
      <c r="O142">
        <v>4.0982182999999998E-2</v>
      </c>
      <c r="P142">
        <v>0.100410501</v>
      </c>
      <c r="Q142">
        <v>0.148744669</v>
      </c>
      <c r="R142">
        <v>0.20664965199999999</v>
      </c>
      <c r="S142">
        <v>0.20664965199999999</v>
      </c>
    </row>
    <row r="143" spans="1:19" x14ac:dyDescent="0.25">
      <c r="A143" t="s">
        <v>2</v>
      </c>
      <c r="B143" t="s">
        <v>88</v>
      </c>
      <c r="C143" t="s">
        <v>89</v>
      </c>
      <c r="D143" t="s">
        <v>3</v>
      </c>
      <c r="E143" t="s">
        <v>316</v>
      </c>
      <c r="F143" t="s">
        <v>317</v>
      </c>
      <c r="G143" t="s">
        <v>7</v>
      </c>
      <c r="H143" t="s">
        <v>92</v>
      </c>
      <c r="J143">
        <v>52.185109670000003</v>
      </c>
      <c r="K143">
        <v>11.677096819999999</v>
      </c>
      <c r="L143" t="s">
        <v>4</v>
      </c>
      <c r="M143">
        <v>0</v>
      </c>
      <c r="N143">
        <v>1.3857395E-2</v>
      </c>
      <c r="O143">
        <v>8.0722481999999998E-2</v>
      </c>
      <c r="P143">
        <v>0.19777826000000001</v>
      </c>
      <c r="Q143">
        <v>0.292981924</v>
      </c>
      <c r="R143">
        <v>0.40703719300000002</v>
      </c>
      <c r="S143">
        <v>0.40703719300000002</v>
      </c>
    </row>
    <row r="144" spans="1:19" x14ac:dyDescent="0.25">
      <c r="A144" t="s">
        <v>2</v>
      </c>
      <c r="B144" t="s">
        <v>88</v>
      </c>
      <c r="C144" t="s">
        <v>89</v>
      </c>
      <c r="D144" t="s">
        <v>3</v>
      </c>
      <c r="E144" t="s">
        <v>133</v>
      </c>
      <c r="F144" t="s">
        <v>134</v>
      </c>
      <c r="G144" t="s">
        <v>7</v>
      </c>
      <c r="H144" t="s">
        <v>92</v>
      </c>
      <c r="J144">
        <v>51.866047850000001</v>
      </c>
      <c r="K144">
        <v>11.57611764</v>
      </c>
      <c r="L144" t="s">
        <v>4</v>
      </c>
      <c r="M144">
        <v>0</v>
      </c>
      <c r="N144">
        <v>8.1012459999999994E-3</v>
      </c>
      <c r="O144">
        <v>4.7191604999999998E-2</v>
      </c>
      <c r="P144">
        <v>0.115624214</v>
      </c>
      <c r="Q144">
        <v>0.17128173999999999</v>
      </c>
      <c r="R144">
        <v>0.23796020500000001</v>
      </c>
      <c r="S144">
        <v>0.23796020500000001</v>
      </c>
    </row>
    <row r="145" spans="1:19" x14ac:dyDescent="0.25">
      <c r="A145" t="s">
        <v>2</v>
      </c>
      <c r="B145" t="s">
        <v>88</v>
      </c>
      <c r="C145" t="s">
        <v>89</v>
      </c>
      <c r="D145" t="s">
        <v>3</v>
      </c>
      <c r="E145" t="s">
        <v>133</v>
      </c>
      <c r="F145" t="s">
        <v>134</v>
      </c>
      <c r="G145" t="s">
        <v>7</v>
      </c>
      <c r="H145" t="s">
        <v>92</v>
      </c>
      <c r="J145">
        <v>51.801934289999998</v>
      </c>
      <c r="K145">
        <v>11.7580533</v>
      </c>
      <c r="L145" t="s">
        <v>4</v>
      </c>
      <c r="M145">
        <v>0</v>
      </c>
      <c r="N145">
        <v>1.0233153E-2</v>
      </c>
      <c r="O145">
        <v>5.9610448000000003E-2</v>
      </c>
      <c r="P145">
        <v>0.14605163800000001</v>
      </c>
      <c r="Q145">
        <v>0.216355882</v>
      </c>
      <c r="R145">
        <v>0.30058131199999999</v>
      </c>
      <c r="S145">
        <v>0.30058131199999999</v>
      </c>
    </row>
    <row r="146" spans="1:19" x14ac:dyDescent="0.25">
      <c r="A146" t="s">
        <v>2</v>
      </c>
      <c r="B146" t="s">
        <v>88</v>
      </c>
      <c r="C146" t="s">
        <v>89</v>
      </c>
      <c r="D146" t="s">
        <v>3</v>
      </c>
      <c r="E146" t="s">
        <v>318</v>
      </c>
      <c r="F146" t="s">
        <v>319</v>
      </c>
      <c r="G146" t="s">
        <v>7</v>
      </c>
      <c r="H146" t="s">
        <v>92</v>
      </c>
      <c r="J146">
        <v>51.461989629999998</v>
      </c>
      <c r="K146">
        <v>11.7182531</v>
      </c>
      <c r="L146" t="s">
        <v>4</v>
      </c>
      <c r="M146">
        <v>0</v>
      </c>
      <c r="N146">
        <v>2.5582880000000001E-3</v>
      </c>
      <c r="O146">
        <v>1.4902612000000001E-2</v>
      </c>
      <c r="P146">
        <v>3.6512910000000003E-2</v>
      </c>
      <c r="Q146">
        <v>5.4088971E-2</v>
      </c>
      <c r="R146">
        <v>7.5145327999999997E-2</v>
      </c>
      <c r="S146">
        <v>7.5145327999999997E-2</v>
      </c>
    </row>
    <row r="147" spans="1:19" x14ac:dyDescent="0.25">
      <c r="A147" t="s">
        <v>2</v>
      </c>
      <c r="B147" t="s">
        <v>88</v>
      </c>
      <c r="C147" t="s">
        <v>89</v>
      </c>
      <c r="D147" t="s">
        <v>3</v>
      </c>
      <c r="E147" t="s">
        <v>320</v>
      </c>
      <c r="F147" t="s">
        <v>321</v>
      </c>
      <c r="G147" t="s">
        <v>7</v>
      </c>
      <c r="H147" t="s">
        <v>92</v>
      </c>
      <c r="J147">
        <v>51.629952979999999</v>
      </c>
      <c r="K147">
        <v>12.288818210000001</v>
      </c>
      <c r="L147" t="s">
        <v>4</v>
      </c>
      <c r="M147">
        <v>0</v>
      </c>
      <c r="N147">
        <v>2.7714789999999999E-3</v>
      </c>
      <c r="O147">
        <v>1.6144496000000001E-2</v>
      </c>
      <c r="P147">
        <v>3.9555651999999997E-2</v>
      </c>
      <c r="Q147">
        <v>5.8596385000000001E-2</v>
      </c>
      <c r="R147">
        <v>8.1407438999999998E-2</v>
      </c>
      <c r="S147">
        <v>8.1407438999999998E-2</v>
      </c>
    </row>
    <row r="148" spans="1:19" x14ac:dyDescent="0.25">
      <c r="A148" t="s">
        <v>2</v>
      </c>
      <c r="B148" t="s">
        <v>88</v>
      </c>
      <c r="C148" t="s">
        <v>89</v>
      </c>
      <c r="D148" t="s">
        <v>3</v>
      </c>
      <c r="E148" t="s">
        <v>320</v>
      </c>
      <c r="F148" t="s">
        <v>321</v>
      </c>
      <c r="G148" t="s">
        <v>7</v>
      </c>
      <c r="H148" t="s">
        <v>92</v>
      </c>
      <c r="J148">
        <v>51.636746700000003</v>
      </c>
      <c r="K148">
        <v>12.227384430000001</v>
      </c>
      <c r="L148" t="s">
        <v>4</v>
      </c>
      <c r="M148">
        <v>0</v>
      </c>
      <c r="N148">
        <v>6.3976179999999999E-3</v>
      </c>
      <c r="O148">
        <v>3.7267583999999999E-2</v>
      </c>
      <c r="P148">
        <v>9.1309357999999993E-2</v>
      </c>
      <c r="Q148">
        <v>0.13526254700000001</v>
      </c>
      <c r="R148">
        <v>0.18791906</v>
      </c>
      <c r="S148">
        <v>0.18791906</v>
      </c>
    </row>
    <row r="149" spans="1:19" x14ac:dyDescent="0.25">
      <c r="A149" t="s">
        <v>2</v>
      </c>
      <c r="B149" t="s">
        <v>88</v>
      </c>
      <c r="C149" t="s">
        <v>89</v>
      </c>
      <c r="D149" t="s">
        <v>3</v>
      </c>
      <c r="E149" t="s">
        <v>322</v>
      </c>
      <c r="F149" t="s">
        <v>323</v>
      </c>
      <c r="G149" t="s">
        <v>7</v>
      </c>
      <c r="H149" t="s">
        <v>92</v>
      </c>
      <c r="J149">
        <v>51.325433420000003</v>
      </c>
      <c r="K149">
        <v>11.99531919</v>
      </c>
      <c r="L149" t="s">
        <v>4</v>
      </c>
      <c r="M149">
        <v>0</v>
      </c>
      <c r="N149">
        <v>8.1012459999999994E-3</v>
      </c>
      <c r="O149">
        <v>4.7191604999999998E-2</v>
      </c>
      <c r="P149">
        <v>0.115624214</v>
      </c>
      <c r="Q149">
        <v>0.17128173999999999</v>
      </c>
      <c r="R149">
        <v>0.23796020500000001</v>
      </c>
      <c r="S149">
        <v>0.23796020500000001</v>
      </c>
    </row>
    <row r="150" spans="1:19" x14ac:dyDescent="0.25">
      <c r="A150" t="s">
        <v>2</v>
      </c>
      <c r="B150" t="s">
        <v>88</v>
      </c>
      <c r="C150" t="s">
        <v>89</v>
      </c>
      <c r="D150" t="s">
        <v>3</v>
      </c>
      <c r="E150" t="s">
        <v>135</v>
      </c>
      <c r="F150" t="s">
        <v>136</v>
      </c>
      <c r="G150" t="s">
        <v>7</v>
      </c>
      <c r="H150" t="s">
        <v>92</v>
      </c>
      <c r="J150">
        <v>51.181517220000003</v>
      </c>
      <c r="K150">
        <v>12.01915262</v>
      </c>
      <c r="L150" t="s">
        <v>4</v>
      </c>
      <c r="M150">
        <v>0</v>
      </c>
      <c r="N150">
        <v>7.2058449999999998E-3</v>
      </c>
      <c r="O150">
        <v>4.1975691000000002E-2</v>
      </c>
      <c r="P150">
        <v>0.102844695</v>
      </c>
      <c r="Q150">
        <v>0.152350601</v>
      </c>
      <c r="R150">
        <v>0.21165934</v>
      </c>
      <c r="S150">
        <v>0.21165934</v>
      </c>
    </row>
    <row r="151" spans="1:19" x14ac:dyDescent="0.25">
      <c r="A151" t="s">
        <v>2</v>
      </c>
      <c r="B151" t="s">
        <v>88</v>
      </c>
      <c r="C151" t="s">
        <v>89</v>
      </c>
      <c r="D151" t="s">
        <v>3</v>
      </c>
      <c r="E151" t="s">
        <v>324</v>
      </c>
      <c r="F151" t="s">
        <v>325</v>
      </c>
      <c r="G151" t="s">
        <v>7</v>
      </c>
      <c r="H151" t="s">
        <v>92</v>
      </c>
      <c r="J151">
        <v>52.527303930000002</v>
      </c>
      <c r="K151">
        <v>12.35972664</v>
      </c>
      <c r="L151" t="s">
        <v>4</v>
      </c>
      <c r="M151">
        <v>0</v>
      </c>
      <c r="N151">
        <v>6.8434209999999997E-3</v>
      </c>
      <c r="O151">
        <v>3.9864486999999997E-2</v>
      </c>
      <c r="P151">
        <v>9.7672033000000005E-2</v>
      </c>
      <c r="Q151">
        <v>0.14468799600000001</v>
      </c>
      <c r="R151">
        <v>0.20101375199999999</v>
      </c>
      <c r="S151">
        <v>0.20101375199999999</v>
      </c>
    </row>
    <row r="152" spans="1:19" x14ac:dyDescent="0.25">
      <c r="A152" t="s">
        <v>2</v>
      </c>
      <c r="B152" t="s">
        <v>88</v>
      </c>
      <c r="C152" t="s">
        <v>89</v>
      </c>
      <c r="D152" t="s">
        <v>3</v>
      </c>
      <c r="E152" t="s">
        <v>326</v>
      </c>
      <c r="F152" t="s">
        <v>327</v>
      </c>
      <c r="G152" t="s">
        <v>7</v>
      </c>
      <c r="H152" t="s">
        <v>92</v>
      </c>
      <c r="J152">
        <v>52.530336679999998</v>
      </c>
      <c r="K152">
        <v>13.23929775</v>
      </c>
      <c r="L152" t="s">
        <v>4</v>
      </c>
      <c r="M152">
        <v>0</v>
      </c>
      <c r="N152">
        <v>1.1459810000000001E-2</v>
      </c>
      <c r="O152">
        <v>6.6756001999999995E-2</v>
      </c>
      <c r="P152">
        <v>0.16355897</v>
      </c>
      <c r="Q152">
        <v>0.242290642</v>
      </c>
      <c r="R152">
        <v>0.336612244</v>
      </c>
      <c r="S152">
        <v>0.336612244</v>
      </c>
    </row>
    <row r="153" spans="1:19" x14ac:dyDescent="0.25">
      <c r="A153" t="s">
        <v>2</v>
      </c>
      <c r="B153" t="s">
        <v>88</v>
      </c>
      <c r="C153" t="s">
        <v>89</v>
      </c>
      <c r="D153" t="s">
        <v>3</v>
      </c>
      <c r="E153" t="s">
        <v>131</v>
      </c>
      <c r="F153" t="s">
        <v>328</v>
      </c>
      <c r="G153" t="s">
        <v>7</v>
      </c>
      <c r="H153" t="s">
        <v>92</v>
      </c>
      <c r="J153">
        <v>52.490157070000002</v>
      </c>
      <c r="K153">
        <v>13.830480590000001</v>
      </c>
      <c r="L153" t="s">
        <v>4</v>
      </c>
      <c r="M153">
        <v>0</v>
      </c>
      <c r="N153">
        <v>5.2231719999999999E-3</v>
      </c>
      <c r="O153">
        <v>3.0426166000000001E-2</v>
      </c>
      <c r="P153">
        <v>7.4547189999999999E-2</v>
      </c>
      <c r="Q153">
        <v>0.11043164799999999</v>
      </c>
      <c r="R153">
        <v>0.15342171099999999</v>
      </c>
      <c r="S153">
        <v>0.15342171099999999</v>
      </c>
    </row>
    <row r="154" spans="1:19" x14ac:dyDescent="0.25">
      <c r="A154" t="s">
        <v>2</v>
      </c>
      <c r="B154" t="s">
        <v>88</v>
      </c>
      <c r="C154" t="s">
        <v>89</v>
      </c>
      <c r="D154" t="s">
        <v>3</v>
      </c>
      <c r="E154" t="s">
        <v>196</v>
      </c>
      <c r="F154" t="s">
        <v>197</v>
      </c>
      <c r="G154" t="s">
        <v>7</v>
      </c>
      <c r="H154" t="s">
        <v>92</v>
      </c>
      <c r="J154">
        <v>52.173520459999999</v>
      </c>
      <c r="K154">
        <v>14.640119070000001</v>
      </c>
      <c r="L154" t="s">
        <v>4</v>
      </c>
      <c r="M154">
        <v>0</v>
      </c>
      <c r="N154">
        <v>1.1213829999999999E-2</v>
      </c>
      <c r="O154">
        <v>6.5323116000000001E-2</v>
      </c>
      <c r="P154">
        <v>0.160048254</v>
      </c>
      <c r="Q154">
        <v>0.237089988</v>
      </c>
      <c r="R154">
        <v>0.329387021</v>
      </c>
      <c r="S154">
        <v>0.329387021</v>
      </c>
    </row>
    <row r="155" spans="1:19" x14ac:dyDescent="0.25">
      <c r="A155" t="s">
        <v>2</v>
      </c>
      <c r="B155" t="s">
        <v>88</v>
      </c>
      <c r="C155" t="s">
        <v>89</v>
      </c>
      <c r="D155" t="s">
        <v>3</v>
      </c>
      <c r="E155" t="s">
        <v>329</v>
      </c>
      <c r="F155" t="s">
        <v>330</v>
      </c>
      <c r="G155" t="s">
        <v>7</v>
      </c>
      <c r="H155" t="s">
        <v>92</v>
      </c>
      <c r="J155">
        <v>51.58175336</v>
      </c>
      <c r="K155">
        <v>13.977769090000001</v>
      </c>
      <c r="L155" t="s">
        <v>4</v>
      </c>
      <c r="M155">
        <v>0</v>
      </c>
      <c r="N155">
        <v>6.2358279999999997E-3</v>
      </c>
      <c r="O155">
        <v>3.6325116999999997E-2</v>
      </c>
      <c r="P155">
        <v>8.9000217000000006E-2</v>
      </c>
      <c r="Q155">
        <v>0.131841866</v>
      </c>
      <c r="R155">
        <v>0.183166737</v>
      </c>
      <c r="S155">
        <v>0.183166737</v>
      </c>
    </row>
    <row r="156" spans="1:19" x14ac:dyDescent="0.25">
      <c r="A156" t="s">
        <v>2</v>
      </c>
      <c r="B156" t="s">
        <v>88</v>
      </c>
      <c r="C156" t="s">
        <v>89</v>
      </c>
      <c r="D156" t="s">
        <v>3</v>
      </c>
      <c r="E156" t="s">
        <v>331</v>
      </c>
      <c r="F156" t="s">
        <v>332</v>
      </c>
      <c r="G156" t="s">
        <v>7</v>
      </c>
      <c r="H156" t="s">
        <v>92</v>
      </c>
      <c r="J156">
        <v>51.528581410000001</v>
      </c>
      <c r="K156">
        <v>14.365483770000001</v>
      </c>
      <c r="L156" t="s">
        <v>4</v>
      </c>
      <c r="M156">
        <v>0</v>
      </c>
      <c r="N156">
        <v>7.4702019999999996E-3</v>
      </c>
      <c r="O156">
        <v>4.3515627000000001E-2</v>
      </c>
      <c r="P156">
        <v>0.106617696</v>
      </c>
      <c r="Q156">
        <v>0.15793979399999999</v>
      </c>
      <c r="R156">
        <v>0.21942435800000001</v>
      </c>
      <c r="S156">
        <v>0.21942435800000001</v>
      </c>
    </row>
    <row r="157" spans="1:19" x14ac:dyDescent="0.25">
      <c r="A157" t="s">
        <v>2</v>
      </c>
      <c r="B157" t="s">
        <v>88</v>
      </c>
      <c r="C157" t="s">
        <v>89</v>
      </c>
      <c r="D157" t="s">
        <v>3</v>
      </c>
      <c r="E157" t="s">
        <v>333</v>
      </c>
      <c r="F157" t="s">
        <v>334</v>
      </c>
      <c r="G157" t="s">
        <v>7</v>
      </c>
      <c r="H157" t="s">
        <v>92</v>
      </c>
      <c r="J157">
        <v>51.450966469999997</v>
      </c>
      <c r="K157">
        <v>14.11152613</v>
      </c>
      <c r="L157" t="s">
        <v>4</v>
      </c>
      <c r="M157">
        <v>0</v>
      </c>
      <c r="N157">
        <v>4.7967909999999999E-3</v>
      </c>
      <c r="O157">
        <v>2.7942398E-2</v>
      </c>
      <c r="P157">
        <v>6.8461704999999998E-2</v>
      </c>
      <c r="Q157">
        <v>0.10141682</v>
      </c>
      <c r="R157">
        <v>0.14089748999999999</v>
      </c>
      <c r="S157">
        <v>0.14089748999999999</v>
      </c>
    </row>
    <row r="158" spans="1:19" x14ac:dyDescent="0.25">
      <c r="A158" t="s">
        <v>2</v>
      </c>
      <c r="B158" t="s">
        <v>88</v>
      </c>
      <c r="C158" t="s">
        <v>89</v>
      </c>
      <c r="D158" t="s">
        <v>3</v>
      </c>
      <c r="E158" t="s">
        <v>335</v>
      </c>
      <c r="F158" t="s">
        <v>336</v>
      </c>
      <c r="G158" t="s">
        <v>7</v>
      </c>
      <c r="H158" t="s">
        <v>92</v>
      </c>
      <c r="J158">
        <v>53.082755249999998</v>
      </c>
      <c r="K158">
        <v>14.322349559999999</v>
      </c>
      <c r="L158" t="s">
        <v>4</v>
      </c>
      <c r="M158">
        <v>0</v>
      </c>
      <c r="N158">
        <v>9.4267810000000004E-3</v>
      </c>
      <c r="O158">
        <v>5.4913144999999997E-2</v>
      </c>
      <c r="P158">
        <v>0.13454276900000001</v>
      </c>
      <c r="Q158">
        <v>0.19930703899999999</v>
      </c>
      <c r="R158">
        <v>0.27689550499999999</v>
      </c>
      <c r="S158">
        <v>0.27689550499999999</v>
      </c>
    </row>
    <row r="159" spans="1:19" x14ac:dyDescent="0.25">
      <c r="A159" t="s">
        <v>2</v>
      </c>
      <c r="B159" t="s">
        <v>88</v>
      </c>
      <c r="C159" t="s">
        <v>89</v>
      </c>
      <c r="D159" t="s">
        <v>3</v>
      </c>
      <c r="E159" t="s">
        <v>337</v>
      </c>
      <c r="F159" t="s">
        <v>338</v>
      </c>
      <c r="G159" t="s">
        <v>7</v>
      </c>
      <c r="H159" t="s">
        <v>92</v>
      </c>
      <c r="J159">
        <v>53.707019979999998</v>
      </c>
      <c r="K159">
        <v>12.909720119999999</v>
      </c>
      <c r="L159" t="s">
        <v>4</v>
      </c>
      <c r="M159">
        <v>0</v>
      </c>
      <c r="N159">
        <v>2.7714789999999999E-3</v>
      </c>
      <c r="O159">
        <v>1.6144496000000001E-2</v>
      </c>
      <c r="P159">
        <v>3.9555651999999997E-2</v>
      </c>
      <c r="Q159">
        <v>5.8596385000000001E-2</v>
      </c>
      <c r="R159">
        <v>8.1407438999999998E-2</v>
      </c>
      <c r="S159">
        <v>8.1407438999999998E-2</v>
      </c>
    </row>
    <row r="160" spans="1:19" x14ac:dyDescent="0.25">
      <c r="A160" t="s">
        <v>2</v>
      </c>
      <c r="B160" t="s">
        <v>88</v>
      </c>
      <c r="C160" t="s">
        <v>89</v>
      </c>
      <c r="D160" t="s">
        <v>3</v>
      </c>
      <c r="E160" t="s">
        <v>339</v>
      </c>
      <c r="F160" t="s">
        <v>340</v>
      </c>
      <c r="G160" t="s">
        <v>7</v>
      </c>
      <c r="H160" t="s">
        <v>92</v>
      </c>
      <c r="J160">
        <v>54.144674190000003</v>
      </c>
      <c r="K160">
        <v>12.14359705</v>
      </c>
      <c r="L160" t="s">
        <v>4</v>
      </c>
      <c r="M160">
        <v>0</v>
      </c>
      <c r="N160">
        <v>4.903386E-3</v>
      </c>
      <c r="O160">
        <v>2.856334E-2</v>
      </c>
      <c r="P160">
        <v>6.9983077000000005E-2</v>
      </c>
      <c r="Q160">
        <v>0.103670527</v>
      </c>
      <c r="R160">
        <v>0.14402854500000001</v>
      </c>
      <c r="S160">
        <v>0.14402854500000001</v>
      </c>
    </row>
    <row r="161" spans="1:19" x14ac:dyDescent="0.25">
      <c r="A161" t="s">
        <v>2</v>
      </c>
      <c r="B161" t="s">
        <v>88</v>
      </c>
      <c r="C161" t="s">
        <v>89</v>
      </c>
      <c r="D161" t="s">
        <v>3</v>
      </c>
      <c r="E161" t="s">
        <v>341</v>
      </c>
      <c r="F161" t="s">
        <v>342</v>
      </c>
      <c r="G161" t="s">
        <v>7</v>
      </c>
      <c r="H161" t="s">
        <v>92</v>
      </c>
      <c r="J161">
        <v>53.298520959999998</v>
      </c>
      <c r="K161">
        <v>11.516331470000001</v>
      </c>
      <c r="L161" t="s">
        <v>4</v>
      </c>
      <c r="M161">
        <v>0</v>
      </c>
      <c r="N161">
        <v>1.2365060000000001E-3</v>
      </c>
      <c r="O161">
        <v>7.2029290000000003E-3</v>
      </c>
      <c r="P161">
        <v>1.7647906000000001E-2</v>
      </c>
      <c r="Q161">
        <v>2.6143001999999999E-2</v>
      </c>
      <c r="R161">
        <v>3.6320242000000003E-2</v>
      </c>
      <c r="S161">
        <v>3.6320242000000003E-2</v>
      </c>
    </row>
    <row r="162" spans="1:19" x14ac:dyDescent="0.25">
      <c r="A162" t="s">
        <v>2</v>
      </c>
      <c r="B162" t="s">
        <v>88</v>
      </c>
      <c r="C162" t="s">
        <v>89</v>
      </c>
      <c r="D162" t="s">
        <v>3</v>
      </c>
      <c r="E162" t="s">
        <v>343</v>
      </c>
      <c r="F162" t="s">
        <v>344</v>
      </c>
      <c r="G162" t="s">
        <v>7</v>
      </c>
      <c r="H162" t="s">
        <v>92</v>
      </c>
      <c r="J162">
        <v>54.096261060000003</v>
      </c>
      <c r="K162">
        <v>10.79355679</v>
      </c>
      <c r="L162" t="s">
        <v>4</v>
      </c>
      <c r="M162">
        <v>0</v>
      </c>
      <c r="N162">
        <v>1.079981E-3</v>
      </c>
      <c r="O162">
        <v>6.2911379999999999E-3</v>
      </c>
      <c r="P162">
        <v>1.5413925E-2</v>
      </c>
      <c r="Q162">
        <v>2.2833658999999999E-2</v>
      </c>
      <c r="R162">
        <v>3.1722599999999997E-2</v>
      </c>
      <c r="S162">
        <v>3.1722599999999997E-2</v>
      </c>
    </row>
    <row r="163" spans="1:19" x14ac:dyDescent="0.25">
      <c r="A163" t="s">
        <v>2</v>
      </c>
      <c r="B163" t="s">
        <v>88</v>
      </c>
      <c r="C163" t="s">
        <v>89</v>
      </c>
      <c r="D163" t="s">
        <v>3</v>
      </c>
      <c r="E163" t="s">
        <v>345</v>
      </c>
      <c r="F163" t="s">
        <v>346</v>
      </c>
      <c r="G163" t="s">
        <v>7</v>
      </c>
      <c r="H163" t="s">
        <v>92</v>
      </c>
      <c r="J163">
        <v>54.307207630000001</v>
      </c>
      <c r="K163">
        <v>10.11225058</v>
      </c>
      <c r="L163" t="s">
        <v>4</v>
      </c>
      <c r="M163">
        <v>0</v>
      </c>
      <c r="N163">
        <v>2.98467E-3</v>
      </c>
      <c r="O163">
        <v>1.7386380999999999E-2</v>
      </c>
      <c r="P163">
        <v>4.2598393999999998E-2</v>
      </c>
      <c r="Q163">
        <v>6.3103799000000002E-2</v>
      </c>
      <c r="R163">
        <v>8.7669548999999999E-2</v>
      </c>
      <c r="S163">
        <v>8.7669548999999999E-2</v>
      </c>
    </row>
    <row r="164" spans="1:19" x14ac:dyDescent="0.25">
      <c r="A164" t="s">
        <v>2</v>
      </c>
      <c r="B164" t="s">
        <v>88</v>
      </c>
      <c r="C164" t="s">
        <v>89</v>
      </c>
      <c r="D164" t="s">
        <v>3</v>
      </c>
      <c r="E164" t="s">
        <v>347</v>
      </c>
      <c r="F164" t="s">
        <v>348</v>
      </c>
      <c r="G164" t="s">
        <v>7</v>
      </c>
      <c r="H164" t="s">
        <v>92</v>
      </c>
      <c r="J164">
        <v>54.083000830000003</v>
      </c>
      <c r="K164">
        <v>9.9905855989999992</v>
      </c>
      <c r="L164" t="s">
        <v>4</v>
      </c>
      <c r="M164">
        <v>0</v>
      </c>
      <c r="N164">
        <v>4.2638140000000003E-3</v>
      </c>
      <c r="O164">
        <v>2.4837687000000001E-2</v>
      </c>
      <c r="P164">
        <v>6.0854849000000003E-2</v>
      </c>
      <c r="Q164">
        <v>9.0148283999999995E-2</v>
      </c>
      <c r="R164">
        <v>0.12524221299999999</v>
      </c>
      <c r="S164">
        <v>0.12524221299999999</v>
      </c>
    </row>
    <row r="165" spans="1:19" x14ac:dyDescent="0.25">
      <c r="A165" t="s">
        <v>2</v>
      </c>
      <c r="B165" t="s">
        <v>88</v>
      </c>
      <c r="C165" t="s">
        <v>89</v>
      </c>
      <c r="D165" t="s">
        <v>3</v>
      </c>
      <c r="E165" t="s">
        <v>349</v>
      </c>
      <c r="F165" t="s">
        <v>350</v>
      </c>
      <c r="G165" t="s">
        <v>7</v>
      </c>
      <c r="H165" t="s">
        <v>92</v>
      </c>
      <c r="J165">
        <v>53.618567259999999</v>
      </c>
      <c r="K165">
        <v>10.22449729</v>
      </c>
      <c r="L165" t="s">
        <v>4</v>
      </c>
      <c r="M165">
        <v>0</v>
      </c>
      <c r="N165">
        <v>7.4616739999999997E-3</v>
      </c>
      <c r="O165">
        <v>4.3465952000000002E-2</v>
      </c>
      <c r="P165">
        <v>0.106495986</v>
      </c>
      <c r="Q165">
        <v>0.157759498</v>
      </c>
      <c r="R165">
        <v>0.21917387299999999</v>
      </c>
      <c r="S165">
        <v>0.21917387299999999</v>
      </c>
    </row>
    <row r="166" spans="1:19" x14ac:dyDescent="0.25">
      <c r="A166" t="s">
        <v>2</v>
      </c>
      <c r="B166" t="s">
        <v>88</v>
      </c>
      <c r="C166" t="s">
        <v>89</v>
      </c>
      <c r="D166" t="s">
        <v>3</v>
      </c>
      <c r="E166" t="s">
        <v>351</v>
      </c>
      <c r="F166" t="s">
        <v>352</v>
      </c>
      <c r="G166" t="s">
        <v>7</v>
      </c>
      <c r="H166" t="s">
        <v>92</v>
      </c>
      <c r="J166">
        <v>53.53183087</v>
      </c>
      <c r="K166">
        <v>10.07311881</v>
      </c>
      <c r="L166" t="s">
        <v>4</v>
      </c>
      <c r="M166">
        <v>0</v>
      </c>
      <c r="N166">
        <v>7.4616739999999997E-3</v>
      </c>
      <c r="O166">
        <v>4.3465952000000002E-2</v>
      </c>
      <c r="P166">
        <v>0.106495986</v>
      </c>
      <c r="Q166">
        <v>0.157759498</v>
      </c>
      <c r="R166">
        <v>0.21917387299999999</v>
      </c>
      <c r="S166">
        <v>0.21917387299999999</v>
      </c>
    </row>
    <row r="167" spans="1:19" x14ac:dyDescent="0.25">
      <c r="A167" t="s">
        <v>2</v>
      </c>
      <c r="B167" t="s">
        <v>88</v>
      </c>
      <c r="C167" t="s">
        <v>89</v>
      </c>
      <c r="D167" t="s">
        <v>3</v>
      </c>
      <c r="E167" t="s">
        <v>351</v>
      </c>
      <c r="F167" t="s">
        <v>352</v>
      </c>
      <c r="G167" t="s">
        <v>7</v>
      </c>
      <c r="H167" t="s">
        <v>92</v>
      </c>
      <c r="J167">
        <v>53.520923260000004</v>
      </c>
      <c r="K167">
        <v>9.9339566730000008</v>
      </c>
      <c r="L167" t="s">
        <v>4</v>
      </c>
      <c r="M167">
        <v>0</v>
      </c>
      <c r="N167">
        <v>6.822102E-3</v>
      </c>
      <c r="O167">
        <v>3.9740299E-2</v>
      </c>
      <c r="P167">
        <v>9.7367758999999998E-2</v>
      </c>
      <c r="Q167">
        <v>0.14423725500000001</v>
      </c>
      <c r="R167">
        <v>0.200387541</v>
      </c>
      <c r="S167">
        <v>0.200387541</v>
      </c>
    </row>
    <row r="168" spans="1:19" x14ac:dyDescent="0.25">
      <c r="A168" t="s">
        <v>2</v>
      </c>
      <c r="B168" t="s">
        <v>88</v>
      </c>
      <c r="C168" t="s">
        <v>89</v>
      </c>
      <c r="D168" t="s">
        <v>3</v>
      </c>
      <c r="E168" t="s">
        <v>353</v>
      </c>
      <c r="F168" t="s">
        <v>354</v>
      </c>
      <c r="G168" t="s">
        <v>7</v>
      </c>
      <c r="H168" t="s">
        <v>92</v>
      </c>
      <c r="J168">
        <v>53.70506778</v>
      </c>
      <c r="K168">
        <v>9.7764563590000009</v>
      </c>
      <c r="L168" t="s">
        <v>4</v>
      </c>
      <c r="M168">
        <v>0</v>
      </c>
      <c r="N168">
        <v>1.705526E-3</v>
      </c>
      <c r="O168">
        <v>9.9350749999999998E-3</v>
      </c>
      <c r="P168">
        <v>2.4341939999999999E-2</v>
      </c>
      <c r="Q168">
        <v>3.6059314000000002E-2</v>
      </c>
      <c r="R168">
        <v>5.0096885000000001E-2</v>
      </c>
      <c r="S168">
        <v>5.0096885000000001E-2</v>
      </c>
    </row>
    <row r="169" spans="1:19" x14ac:dyDescent="0.25">
      <c r="A169" t="s">
        <v>2</v>
      </c>
      <c r="B169" t="s">
        <v>88</v>
      </c>
      <c r="C169" t="s">
        <v>89</v>
      </c>
      <c r="D169" t="s">
        <v>3</v>
      </c>
      <c r="E169" t="s">
        <v>101</v>
      </c>
      <c r="F169" t="s">
        <v>102</v>
      </c>
      <c r="G169" t="s">
        <v>7</v>
      </c>
      <c r="H169" t="s">
        <v>92</v>
      </c>
      <c r="J169">
        <v>53.781289000000001</v>
      </c>
      <c r="K169">
        <v>9.4256796680000008</v>
      </c>
      <c r="L169" t="s">
        <v>4</v>
      </c>
      <c r="M169">
        <v>0</v>
      </c>
      <c r="N169">
        <v>5.1165769999999998E-3</v>
      </c>
      <c r="O169">
        <v>2.9805224000000002E-2</v>
      </c>
      <c r="P169">
        <v>7.3025819000000006E-2</v>
      </c>
      <c r="Q169">
        <v>0.108177941</v>
      </c>
      <c r="R169">
        <v>0.15029065599999999</v>
      </c>
      <c r="S169">
        <v>0.15029065599999999</v>
      </c>
    </row>
    <row r="170" spans="1:19" x14ac:dyDescent="0.25">
      <c r="A170" t="s">
        <v>2</v>
      </c>
      <c r="B170" t="s">
        <v>88</v>
      </c>
      <c r="C170" t="s">
        <v>89</v>
      </c>
      <c r="D170" t="s">
        <v>3</v>
      </c>
      <c r="E170" t="s">
        <v>355</v>
      </c>
      <c r="F170" t="s">
        <v>356</v>
      </c>
      <c r="G170" t="s">
        <v>7</v>
      </c>
      <c r="H170" t="s">
        <v>92</v>
      </c>
      <c r="J170">
        <v>53.547990830000003</v>
      </c>
      <c r="K170">
        <v>8.6178952459999998</v>
      </c>
      <c r="L170" t="s">
        <v>4</v>
      </c>
      <c r="M170">
        <v>0</v>
      </c>
      <c r="N170">
        <v>8.5596060000000009E-3</v>
      </c>
      <c r="O170">
        <v>4.9861655999999997E-2</v>
      </c>
      <c r="P170">
        <v>0.12216610999999999</v>
      </c>
      <c r="Q170">
        <v>0.180972681</v>
      </c>
      <c r="R170">
        <v>0.25142374299999998</v>
      </c>
      <c r="S170">
        <v>0.25142374299999998</v>
      </c>
    </row>
    <row r="171" spans="1:19" x14ac:dyDescent="0.25">
      <c r="A171" t="s">
        <v>2</v>
      </c>
      <c r="B171" t="s">
        <v>88</v>
      </c>
      <c r="C171" t="s">
        <v>89</v>
      </c>
      <c r="D171" t="s">
        <v>3</v>
      </c>
      <c r="E171" t="s">
        <v>357</v>
      </c>
      <c r="F171" t="s">
        <v>358</v>
      </c>
      <c r="G171" t="s">
        <v>7</v>
      </c>
      <c r="H171" t="s">
        <v>92</v>
      </c>
      <c r="J171">
        <v>53.179208619999997</v>
      </c>
      <c r="K171">
        <v>8.5723346720000002</v>
      </c>
      <c r="L171" t="s">
        <v>4</v>
      </c>
      <c r="M171">
        <v>0</v>
      </c>
      <c r="N171">
        <v>1.385739E-3</v>
      </c>
      <c r="O171">
        <v>8.0722480000000006E-3</v>
      </c>
      <c r="P171">
        <v>1.9777825999999998E-2</v>
      </c>
      <c r="Q171">
        <v>2.9298192000000001E-2</v>
      </c>
      <c r="R171">
        <v>4.0703718999999999E-2</v>
      </c>
      <c r="S171">
        <v>4.0703718999999999E-2</v>
      </c>
    </row>
    <row r="172" spans="1:19" x14ac:dyDescent="0.25">
      <c r="A172" t="s">
        <v>2</v>
      </c>
      <c r="B172" t="s">
        <v>88</v>
      </c>
      <c r="C172" t="s">
        <v>89</v>
      </c>
      <c r="D172" t="s">
        <v>3</v>
      </c>
      <c r="E172" t="s">
        <v>359</v>
      </c>
      <c r="F172" t="s">
        <v>360</v>
      </c>
      <c r="G172" t="s">
        <v>7</v>
      </c>
      <c r="H172" t="s">
        <v>92</v>
      </c>
      <c r="J172">
        <v>53.124072060000003</v>
      </c>
      <c r="K172">
        <v>8.7278352229999996</v>
      </c>
      <c r="L172" t="s">
        <v>4</v>
      </c>
      <c r="M172">
        <v>0</v>
      </c>
      <c r="N172">
        <v>7.3550789999999996E-3</v>
      </c>
      <c r="O172">
        <v>4.2845010000000003E-2</v>
      </c>
      <c r="P172">
        <v>0.10497461499999999</v>
      </c>
      <c r="Q172">
        <v>0.155505791</v>
      </c>
      <c r="R172">
        <v>0.216042818</v>
      </c>
      <c r="S172">
        <v>0.216042818</v>
      </c>
    </row>
    <row r="173" spans="1:19" x14ac:dyDescent="0.25">
      <c r="A173" t="s">
        <v>2</v>
      </c>
      <c r="B173" t="s">
        <v>88</v>
      </c>
      <c r="C173" t="s">
        <v>89</v>
      </c>
      <c r="D173" t="s">
        <v>3</v>
      </c>
      <c r="E173" t="s">
        <v>359</v>
      </c>
      <c r="F173" t="s">
        <v>360</v>
      </c>
      <c r="G173" t="s">
        <v>7</v>
      </c>
      <c r="H173" t="s">
        <v>92</v>
      </c>
      <c r="J173">
        <v>53.114351059999997</v>
      </c>
      <c r="K173">
        <v>8.8167435249999997</v>
      </c>
      <c r="L173" t="s">
        <v>4</v>
      </c>
      <c r="M173">
        <v>0</v>
      </c>
      <c r="N173">
        <v>1.1725487999999999E-2</v>
      </c>
      <c r="O173">
        <v>6.8303638E-2</v>
      </c>
      <c r="P173">
        <v>0.167350835</v>
      </c>
      <c r="Q173">
        <v>0.24790778199999999</v>
      </c>
      <c r="R173">
        <v>0.34441608699999998</v>
      </c>
      <c r="S173">
        <v>0.34441608699999998</v>
      </c>
    </row>
    <row r="174" spans="1:19" x14ac:dyDescent="0.25">
      <c r="A174" t="s">
        <v>2</v>
      </c>
      <c r="B174" t="s">
        <v>88</v>
      </c>
      <c r="C174" t="s">
        <v>89</v>
      </c>
      <c r="D174" t="s">
        <v>3</v>
      </c>
      <c r="E174" t="s">
        <v>361</v>
      </c>
      <c r="F174" t="s">
        <v>362</v>
      </c>
      <c r="G174" t="s">
        <v>7</v>
      </c>
      <c r="H174" t="s">
        <v>92</v>
      </c>
      <c r="J174">
        <v>53.181020879999998</v>
      </c>
      <c r="K174">
        <v>7.354555951</v>
      </c>
      <c r="L174" t="s">
        <v>4</v>
      </c>
      <c r="M174">
        <v>0</v>
      </c>
      <c r="N174">
        <v>3.837432E-3</v>
      </c>
      <c r="O174">
        <v>2.2353918E-2</v>
      </c>
      <c r="P174">
        <v>5.4769364000000001E-2</v>
      </c>
      <c r="Q174">
        <v>8.1133456000000007E-2</v>
      </c>
      <c r="R174">
        <v>0.112717992</v>
      </c>
      <c r="S174">
        <v>0.112717992</v>
      </c>
    </row>
    <row r="175" spans="1:19" x14ac:dyDescent="0.25">
      <c r="A175" t="s">
        <v>2</v>
      </c>
      <c r="B175" t="s">
        <v>88</v>
      </c>
      <c r="C175" t="s">
        <v>89</v>
      </c>
      <c r="D175" t="s">
        <v>3</v>
      </c>
      <c r="E175" t="s">
        <v>363</v>
      </c>
      <c r="F175" t="s">
        <v>364</v>
      </c>
      <c r="G175" t="s">
        <v>7</v>
      </c>
      <c r="H175" t="s">
        <v>92</v>
      </c>
      <c r="J175">
        <v>52.643203130000003</v>
      </c>
      <c r="K175">
        <v>6.7421377009999999</v>
      </c>
      <c r="L175" t="s">
        <v>4</v>
      </c>
      <c r="M175">
        <v>0</v>
      </c>
      <c r="N175">
        <v>9.6826099999999995E-3</v>
      </c>
      <c r="O175">
        <v>5.6403406000000003E-2</v>
      </c>
      <c r="P175">
        <v>0.13819406000000001</v>
      </c>
      <c r="Q175">
        <v>0.20471593599999999</v>
      </c>
      <c r="R175">
        <v>0.284410037</v>
      </c>
      <c r="S175">
        <v>0.284410037</v>
      </c>
    </row>
    <row r="176" spans="1:19" x14ac:dyDescent="0.25">
      <c r="A176" t="s">
        <v>2</v>
      </c>
      <c r="B176" t="s">
        <v>88</v>
      </c>
      <c r="C176" t="s">
        <v>89</v>
      </c>
      <c r="D176" t="s">
        <v>3</v>
      </c>
      <c r="E176" t="s">
        <v>365</v>
      </c>
      <c r="F176" t="s">
        <v>366</v>
      </c>
      <c r="G176" t="s">
        <v>7</v>
      </c>
      <c r="H176" t="s">
        <v>92</v>
      </c>
      <c r="J176">
        <v>52.313141109999997</v>
      </c>
      <c r="K176">
        <v>7.3507255469999997</v>
      </c>
      <c r="L176" t="s">
        <v>4</v>
      </c>
      <c r="M176">
        <v>0</v>
      </c>
      <c r="N176">
        <v>2.7714789999999999E-3</v>
      </c>
      <c r="O176">
        <v>1.6144496000000001E-2</v>
      </c>
      <c r="P176">
        <v>3.9555651999999997E-2</v>
      </c>
      <c r="Q176">
        <v>5.8596385000000001E-2</v>
      </c>
      <c r="R176">
        <v>8.1407438999999998E-2</v>
      </c>
      <c r="S176">
        <v>8.1407438999999998E-2</v>
      </c>
    </row>
    <row r="177" spans="1:19" x14ac:dyDescent="0.25">
      <c r="A177" t="s">
        <v>2</v>
      </c>
      <c r="B177" t="s">
        <v>88</v>
      </c>
      <c r="C177" t="s">
        <v>89</v>
      </c>
      <c r="D177" t="s">
        <v>3</v>
      </c>
      <c r="E177" t="s">
        <v>196</v>
      </c>
      <c r="F177" t="s">
        <v>197</v>
      </c>
      <c r="G177" t="s">
        <v>367</v>
      </c>
      <c r="H177" t="s">
        <v>92</v>
      </c>
      <c r="J177">
        <v>52.166141000000003</v>
      </c>
      <c r="K177">
        <v>14.617682</v>
      </c>
      <c r="L177" t="s">
        <v>4</v>
      </c>
      <c r="M177">
        <v>0</v>
      </c>
      <c r="N177">
        <v>0</v>
      </c>
      <c r="O177">
        <v>0</v>
      </c>
      <c r="P177">
        <v>0.82042899999999996</v>
      </c>
      <c r="Q177">
        <v>1.640857</v>
      </c>
      <c r="R177">
        <v>2.4612859999999999</v>
      </c>
      <c r="S177">
        <v>2.4612859999999999</v>
      </c>
    </row>
    <row r="178" spans="1:19" x14ac:dyDescent="0.25">
      <c r="A178" t="s">
        <v>2</v>
      </c>
      <c r="B178" t="s">
        <v>88</v>
      </c>
      <c r="C178" t="s">
        <v>89</v>
      </c>
      <c r="D178" t="s">
        <v>3</v>
      </c>
      <c r="E178" t="s">
        <v>359</v>
      </c>
      <c r="F178" t="s">
        <v>360</v>
      </c>
      <c r="G178" t="s">
        <v>367</v>
      </c>
      <c r="H178" t="s">
        <v>92</v>
      </c>
      <c r="J178">
        <v>53.124929999999999</v>
      </c>
      <c r="K178">
        <v>8.6867289999999997</v>
      </c>
      <c r="L178" t="s">
        <v>4</v>
      </c>
      <c r="M178">
        <v>0</v>
      </c>
      <c r="N178">
        <v>0</v>
      </c>
      <c r="O178">
        <v>0</v>
      </c>
      <c r="P178">
        <v>1.7802180000000001</v>
      </c>
      <c r="Q178">
        <v>3.5604360000000002</v>
      </c>
      <c r="R178">
        <v>5.3406539999999998</v>
      </c>
      <c r="S178">
        <v>5.3406539999999998</v>
      </c>
    </row>
    <row r="179" spans="1:19" x14ac:dyDescent="0.25">
      <c r="A179" t="s">
        <v>2</v>
      </c>
      <c r="B179" t="s">
        <v>88</v>
      </c>
      <c r="C179" t="s">
        <v>89</v>
      </c>
      <c r="D179" t="s">
        <v>3</v>
      </c>
      <c r="E179" t="s">
        <v>368</v>
      </c>
      <c r="F179" t="s">
        <v>369</v>
      </c>
      <c r="G179" t="s">
        <v>367</v>
      </c>
      <c r="H179" t="s">
        <v>92</v>
      </c>
      <c r="J179">
        <v>52.154764999999998</v>
      </c>
      <c r="K179">
        <v>10.403074999999999</v>
      </c>
      <c r="L179" t="s">
        <v>4</v>
      </c>
      <c r="M179">
        <v>0</v>
      </c>
      <c r="N179">
        <v>0</v>
      </c>
      <c r="O179">
        <v>0</v>
      </c>
      <c r="P179">
        <v>1.1826000000000001</v>
      </c>
      <c r="Q179">
        <v>2.3652000000000002</v>
      </c>
      <c r="R179">
        <v>3.5478000000000001</v>
      </c>
      <c r="S179">
        <v>3.5478000000000001</v>
      </c>
    </row>
    <row r="180" spans="1:19" x14ac:dyDescent="0.25">
      <c r="A180" t="s">
        <v>2</v>
      </c>
      <c r="B180" t="s">
        <v>88</v>
      </c>
      <c r="C180" t="s">
        <v>89</v>
      </c>
      <c r="D180" t="s">
        <v>3</v>
      </c>
      <c r="E180" t="s">
        <v>370</v>
      </c>
      <c r="F180" t="s">
        <v>371</v>
      </c>
      <c r="G180" t="s">
        <v>367</v>
      </c>
      <c r="H180" t="s">
        <v>92</v>
      </c>
      <c r="J180">
        <v>51.503689999999999</v>
      </c>
      <c r="K180">
        <v>6.7359070000000001</v>
      </c>
      <c r="L180" t="s">
        <v>4</v>
      </c>
      <c r="M180">
        <v>0</v>
      </c>
      <c r="N180">
        <v>0</v>
      </c>
      <c r="O180">
        <v>0</v>
      </c>
      <c r="P180">
        <v>3.98142</v>
      </c>
      <c r="Q180">
        <v>7.9628399999999999</v>
      </c>
      <c r="R180">
        <v>11.94426</v>
      </c>
      <c r="S180">
        <v>11.94426</v>
      </c>
    </row>
    <row r="181" spans="1:19" x14ac:dyDescent="0.25">
      <c r="A181" t="s">
        <v>2</v>
      </c>
      <c r="B181" t="s">
        <v>88</v>
      </c>
      <c r="C181" t="s">
        <v>89</v>
      </c>
      <c r="D181" t="s">
        <v>3</v>
      </c>
      <c r="E181" t="s">
        <v>372</v>
      </c>
      <c r="F181" t="s">
        <v>373</v>
      </c>
      <c r="G181" t="s">
        <v>367</v>
      </c>
      <c r="H181" t="s">
        <v>92</v>
      </c>
      <c r="J181">
        <v>49.352136999999999</v>
      </c>
      <c r="K181">
        <v>6.7436530000000001</v>
      </c>
      <c r="L181" t="s">
        <v>4</v>
      </c>
      <c r="M181">
        <v>0</v>
      </c>
      <c r="N181">
        <v>0</v>
      </c>
      <c r="O181">
        <v>0</v>
      </c>
      <c r="P181">
        <v>0.66149999999999998</v>
      </c>
      <c r="Q181">
        <v>1.323</v>
      </c>
      <c r="R181">
        <v>1.9844999999999999</v>
      </c>
      <c r="S181">
        <v>1.9844999999999999</v>
      </c>
    </row>
    <row r="182" spans="1:19" x14ac:dyDescent="0.25">
      <c r="A182" t="s">
        <v>2</v>
      </c>
      <c r="B182" t="s">
        <v>88</v>
      </c>
      <c r="C182" t="s">
        <v>89</v>
      </c>
      <c r="D182" t="s">
        <v>3</v>
      </c>
      <c r="E182" t="s">
        <v>374</v>
      </c>
      <c r="F182" t="s">
        <v>375</v>
      </c>
      <c r="G182" t="s">
        <v>376</v>
      </c>
      <c r="H182" t="s">
        <v>92</v>
      </c>
      <c r="J182">
        <v>49.025399999999998</v>
      </c>
      <c r="K182">
        <v>8.4304000000000006</v>
      </c>
      <c r="L182" t="s">
        <v>4</v>
      </c>
      <c r="M182">
        <v>0</v>
      </c>
      <c r="N182">
        <v>0</v>
      </c>
      <c r="O182">
        <v>0</v>
      </c>
      <c r="P182">
        <v>0.68666700000000003</v>
      </c>
      <c r="Q182">
        <v>1.3733329999999999</v>
      </c>
      <c r="R182">
        <v>2.06</v>
      </c>
      <c r="S182">
        <v>2.06</v>
      </c>
    </row>
    <row r="183" spans="1:19" x14ac:dyDescent="0.25">
      <c r="A183" t="s">
        <v>2</v>
      </c>
      <c r="B183" t="s">
        <v>88</v>
      </c>
      <c r="C183" t="s">
        <v>89</v>
      </c>
      <c r="D183" t="s">
        <v>3</v>
      </c>
      <c r="E183" t="s">
        <v>220</v>
      </c>
      <c r="F183" t="s">
        <v>377</v>
      </c>
      <c r="G183" t="s">
        <v>378</v>
      </c>
      <c r="H183" t="s">
        <v>92</v>
      </c>
      <c r="J183">
        <v>48.174922000000002</v>
      </c>
      <c r="K183">
        <v>12.816148999999999</v>
      </c>
      <c r="L183" t="s">
        <v>4</v>
      </c>
      <c r="M183">
        <v>0</v>
      </c>
      <c r="N183">
        <v>0</v>
      </c>
      <c r="O183">
        <v>0</v>
      </c>
      <c r="P183">
        <v>0.217</v>
      </c>
      <c r="Q183">
        <v>0.434</v>
      </c>
      <c r="R183">
        <v>0.65100000000000002</v>
      </c>
      <c r="S183">
        <v>0.65100000000000002</v>
      </c>
    </row>
    <row r="184" spans="1:19" x14ac:dyDescent="0.25">
      <c r="A184" t="s">
        <v>2</v>
      </c>
      <c r="B184" t="s">
        <v>88</v>
      </c>
      <c r="C184" t="s">
        <v>89</v>
      </c>
      <c r="D184" t="s">
        <v>3</v>
      </c>
      <c r="E184" t="s">
        <v>220</v>
      </c>
      <c r="F184" t="s">
        <v>377</v>
      </c>
      <c r="G184" t="s">
        <v>376</v>
      </c>
      <c r="H184" t="s">
        <v>92</v>
      </c>
      <c r="J184">
        <v>48.1571</v>
      </c>
      <c r="K184">
        <v>12.84</v>
      </c>
      <c r="L184" t="s">
        <v>4</v>
      </c>
      <c r="M184">
        <v>0</v>
      </c>
      <c r="N184">
        <v>0</v>
      </c>
      <c r="O184">
        <v>0</v>
      </c>
      <c r="P184">
        <v>0.27400000000000002</v>
      </c>
      <c r="Q184">
        <v>0.54800000000000004</v>
      </c>
      <c r="R184">
        <v>0.82199999999999995</v>
      </c>
      <c r="S184">
        <v>0.82199999999999995</v>
      </c>
    </row>
    <row r="185" spans="1:19" x14ac:dyDescent="0.25">
      <c r="A185" t="s">
        <v>2</v>
      </c>
      <c r="B185" t="s">
        <v>88</v>
      </c>
      <c r="C185" t="s">
        <v>89</v>
      </c>
      <c r="D185" t="s">
        <v>3</v>
      </c>
      <c r="E185" t="s">
        <v>238</v>
      </c>
      <c r="F185" t="s">
        <v>379</v>
      </c>
      <c r="G185" t="s">
        <v>378</v>
      </c>
      <c r="H185" t="s">
        <v>92</v>
      </c>
      <c r="J185">
        <v>48.768099999999997</v>
      </c>
      <c r="K185">
        <v>11.771000000000001</v>
      </c>
      <c r="L185" t="s">
        <v>4</v>
      </c>
      <c r="M185">
        <v>0</v>
      </c>
      <c r="N185">
        <v>0</v>
      </c>
      <c r="O185">
        <v>0</v>
      </c>
      <c r="P185">
        <v>3.7999999999999999E-2</v>
      </c>
      <c r="Q185">
        <v>7.5999999999999998E-2</v>
      </c>
      <c r="R185">
        <v>0.114</v>
      </c>
      <c r="S185">
        <v>0.114</v>
      </c>
    </row>
    <row r="186" spans="1:19" x14ac:dyDescent="0.25">
      <c r="A186" t="s">
        <v>2</v>
      </c>
      <c r="B186" t="s">
        <v>88</v>
      </c>
      <c r="C186" t="s">
        <v>89</v>
      </c>
      <c r="D186" t="s">
        <v>3</v>
      </c>
      <c r="E186" t="s">
        <v>238</v>
      </c>
      <c r="F186" t="s">
        <v>379</v>
      </c>
      <c r="G186" t="s">
        <v>380</v>
      </c>
      <c r="H186" t="s">
        <v>92</v>
      </c>
      <c r="J186">
        <v>48.768099999999997</v>
      </c>
      <c r="K186">
        <v>11.771000000000001</v>
      </c>
      <c r="L186" t="s">
        <v>4</v>
      </c>
      <c r="M186">
        <v>0</v>
      </c>
      <c r="N186">
        <v>0</v>
      </c>
      <c r="O186">
        <v>0</v>
      </c>
      <c r="P186">
        <v>0.112667</v>
      </c>
      <c r="Q186">
        <v>0.22533300000000001</v>
      </c>
      <c r="R186">
        <v>0.33800000000000002</v>
      </c>
      <c r="S186">
        <v>0.33800000000000002</v>
      </c>
    </row>
    <row r="187" spans="1:19" x14ac:dyDescent="0.25">
      <c r="A187" t="s">
        <v>2</v>
      </c>
      <c r="B187" t="s">
        <v>88</v>
      </c>
      <c r="C187" t="s">
        <v>89</v>
      </c>
      <c r="D187" t="s">
        <v>3</v>
      </c>
      <c r="E187" t="s">
        <v>381</v>
      </c>
      <c r="F187" t="s">
        <v>382</v>
      </c>
      <c r="G187" t="s">
        <v>376</v>
      </c>
      <c r="H187" t="s">
        <v>92</v>
      </c>
      <c r="J187">
        <v>48.771900000000002</v>
      </c>
      <c r="K187">
        <v>11.6206</v>
      </c>
      <c r="L187" t="s">
        <v>4</v>
      </c>
      <c r="M187">
        <v>0</v>
      </c>
      <c r="N187">
        <v>0</v>
      </c>
      <c r="O187">
        <v>0</v>
      </c>
      <c r="P187">
        <v>0.10828500000000001</v>
      </c>
      <c r="Q187">
        <v>0.21657000000000001</v>
      </c>
      <c r="R187">
        <v>0.324855</v>
      </c>
      <c r="S187">
        <v>0.324855</v>
      </c>
    </row>
    <row r="188" spans="1:19" x14ac:dyDescent="0.25">
      <c r="A188" t="s">
        <v>2</v>
      </c>
      <c r="B188" t="s">
        <v>88</v>
      </c>
      <c r="C188" t="s">
        <v>89</v>
      </c>
      <c r="D188" t="s">
        <v>3</v>
      </c>
      <c r="E188" t="s">
        <v>146</v>
      </c>
      <c r="F188" t="s">
        <v>147</v>
      </c>
      <c r="G188" t="s">
        <v>376</v>
      </c>
      <c r="H188" t="s">
        <v>92</v>
      </c>
      <c r="J188">
        <v>48.805999999999997</v>
      </c>
      <c r="K188">
        <v>11.7606</v>
      </c>
      <c r="L188" t="s">
        <v>4</v>
      </c>
      <c r="M188">
        <v>0</v>
      </c>
      <c r="N188">
        <v>0</v>
      </c>
      <c r="O188">
        <v>0</v>
      </c>
      <c r="P188">
        <v>0.28804800000000003</v>
      </c>
      <c r="Q188">
        <v>0.57609699999999997</v>
      </c>
      <c r="R188">
        <v>0.86414500000000005</v>
      </c>
      <c r="S188">
        <v>0.86414500000000005</v>
      </c>
    </row>
    <row r="189" spans="1:19" x14ac:dyDescent="0.25">
      <c r="A189" t="s">
        <v>2</v>
      </c>
      <c r="B189" t="s">
        <v>88</v>
      </c>
      <c r="C189" t="s">
        <v>89</v>
      </c>
      <c r="D189" t="s">
        <v>3</v>
      </c>
      <c r="E189" t="s">
        <v>329</v>
      </c>
      <c r="F189" t="s">
        <v>330</v>
      </c>
      <c r="G189" t="s">
        <v>378</v>
      </c>
      <c r="H189" t="s">
        <v>92</v>
      </c>
      <c r="J189">
        <v>51.502800000000001</v>
      </c>
      <c r="K189">
        <v>13.8514</v>
      </c>
      <c r="L189" t="s">
        <v>4</v>
      </c>
      <c r="M189">
        <v>0</v>
      </c>
      <c r="N189">
        <v>0</v>
      </c>
      <c r="O189">
        <v>0</v>
      </c>
      <c r="P189">
        <v>8.4000000000000005E-2</v>
      </c>
      <c r="Q189">
        <v>0.16800000000000001</v>
      </c>
      <c r="R189">
        <v>0.252</v>
      </c>
      <c r="S189">
        <v>0.252</v>
      </c>
    </row>
    <row r="190" spans="1:19" x14ac:dyDescent="0.25">
      <c r="A190" t="s">
        <v>2</v>
      </c>
      <c r="B190" t="s">
        <v>88</v>
      </c>
      <c r="C190" t="s">
        <v>89</v>
      </c>
      <c r="D190" t="s">
        <v>3</v>
      </c>
      <c r="E190" t="s">
        <v>335</v>
      </c>
      <c r="F190" t="s">
        <v>336</v>
      </c>
      <c r="G190" t="s">
        <v>376</v>
      </c>
      <c r="H190" t="s">
        <v>92</v>
      </c>
      <c r="J190">
        <v>53.061700000000002</v>
      </c>
      <c r="K190">
        <v>14.272399999999999</v>
      </c>
      <c r="L190" t="s">
        <v>4</v>
      </c>
      <c r="M190">
        <v>0</v>
      </c>
      <c r="N190">
        <v>0</v>
      </c>
      <c r="O190">
        <v>0</v>
      </c>
      <c r="P190">
        <v>0.874</v>
      </c>
      <c r="Q190">
        <v>1.748</v>
      </c>
      <c r="R190">
        <v>2.6219999999999999</v>
      </c>
      <c r="S190">
        <v>2.6219999999999999</v>
      </c>
    </row>
    <row r="191" spans="1:19" x14ac:dyDescent="0.25">
      <c r="A191" t="s">
        <v>2</v>
      </c>
      <c r="B191" t="s">
        <v>88</v>
      </c>
      <c r="C191" t="s">
        <v>89</v>
      </c>
      <c r="D191" t="s">
        <v>3</v>
      </c>
      <c r="E191" t="s">
        <v>351</v>
      </c>
      <c r="F191" t="s">
        <v>352</v>
      </c>
      <c r="G191" t="s">
        <v>376</v>
      </c>
      <c r="H191" t="s">
        <v>92</v>
      </c>
      <c r="J191">
        <v>53.482700000000001</v>
      </c>
      <c r="K191">
        <v>9.9666999999999994</v>
      </c>
      <c r="L191" t="s">
        <v>4</v>
      </c>
      <c r="M191">
        <v>0</v>
      </c>
      <c r="N191">
        <v>0</v>
      </c>
      <c r="O191">
        <v>0</v>
      </c>
      <c r="P191">
        <v>0.21166699999999999</v>
      </c>
      <c r="Q191">
        <v>0.42333300000000001</v>
      </c>
      <c r="R191">
        <v>0.63500000000000001</v>
      </c>
      <c r="S191">
        <v>0.63500000000000001</v>
      </c>
    </row>
    <row r="192" spans="1:19" x14ac:dyDescent="0.25">
      <c r="A192" t="s">
        <v>2</v>
      </c>
      <c r="B192" t="s">
        <v>88</v>
      </c>
      <c r="C192" t="s">
        <v>89</v>
      </c>
      <c r="D192" t="s">
        <v>3</v>
      </c>
      <c r="E192" t="s">
        <v>262</v>
      </c>
      <c r="F192" t="s">
        <v>263</v>
      </c>
      <c r="G192" t="s">
        <v>378</v>
      </c>
      <c r="H192" t="s">
        <v>92</v>
      </c>
      <c r="J192">
        <v>50.098599999999998</v>
      </c>
      <c r="K192">
        <v>8.5340000000000007</v>
      </c>
      <c r="L192" t="s">
        <v>4</v>
      </c>
      <c r="M192">
        <v>0</v>
      </c>
      <c r="N192">
        <v>0</v>
      </c>
      <c r="O192">
        <v>0</v>
      </c>
      <c r="P192">
        <v>0.33033299999999999</v>
      </c>
      <c r="Q192">
        <v>0.660667</v>
      </c>
      <c r="R192">
        <v>0.99099999999999999</v>
      </c>
      <c r="S192">
        <v>0.99099999999999999</v>
      </c>
    </row>
    <row r="193" spans="1:19" x14ac:dyDescent="0.25">
      <c r="A193" t="s">
        <v>2</v>
      </c>
      <c r="B193" t="s">
        <v>88</v>
      </c>
      <c r="C193" t="s">
        <v>89</v>
      </c>
      <c r="D193" t="s">
        <v>3</v>
      </c>
      <c r="E193" t="s">
        <v>383</v>
      </c>
      <c r="F193" t="s">
        <v>384</v>
      </c>
      <c r="G193" t="s">
        <v>378</v>
      </c>
      <c r="H193" t="s">
        <v>92</v>
      </c>
      <c r="J193">
        <v>53.6708</v>
      </c>
      <c r="K193">
        <v>9.5291999999999994</v>
      </c>
      <c r="L193" t="s">
        <v>4</v>
      </c>
      <c r="M193">
        <v>0</v>
      </c>
      <c r="N193">
        <v>0</v>
      </c>
      <c r="O193">
        <v>0</v>
      </c>
      <c r="P193">
        <v>0.224</v>
      </c>
      <c r="Q193">
        <v>0.44800000000000001</v>
      </c>
      <c r="R193">
        <v>0.67200000000000004</v>
      </c>
      <c r="S193">
        <v>0.67200000000000004</v>
      </c>
    </row>
    <row r="194" spans="1:19" x14ac:dyDescent="0.25">
      <c r="A194" t="s">
        <v>2</v>
      </c>
      <c r="B194" t="s">
        <v>88</v>
      </c>
      <c r="C194" t="s">
        <v>89</v>
      </c>
      <c r="D194" t="s">
        <v>3</v>
      </c>
      <c r="E194" t="s">
        <v>365</v>
      </c>
      <c r="F194" t="s">
        <v>366</v>
      </c>
      <c r="G194" t="s">
        <v>376</v>
      </c>
      <c r="H194" t="s">
        <v>92</v>
      </c>
      <c r="J194">
        <v>52.516800000000003</v>
      </c>
      <c r="K194">
        <v>7.3413000000000004</v>
      </c>
      <c r="L194" t="s">
        <v>4</v>
      </c>
      <c r="M194">
        <v>0</v>
      </c>
      <c r="N194">
        <v>0</v>
      </c>
      <c r="O194">
        <v>0</v>
      </c>
      <c r="P194">
        <v>0.29466700000000001</v>
      </c>
      <c r="Q194">
        <v>0.589333</v>
      </c>
      <c r="R194">
        <v>0.88400000000000001</v>
      </c>
      <c r="S194">
        <v>0.88400000000000001</v>
      </c>
    </row>
    <row r="195" spans="1:19" x14ac:dyDescent="0.25">
      <c r="A195" t="s">
        <v>2</v>
      </c>
      <c r="B195" t="s">
        <v>88</v>
      </c>
      <c r="C195" t="s">
        <v>89</v>
      </c>
      <c r="D195" t="s">
        <v>3</v>
      </c>
      <c r="E195" t="s">
        <v>295</v>
      </c>
      <c r="F195" t="s">
        <v>296</v>
      </c>
      <c r="G195" t="s">
        <v>378</v>
      </c>
      <c r="H195" t="s">
        <v>92</v>
      </c>
      <c r="J195">
        <v>51.3489</v>
      </c>
      <c r="K195">
        <v>6.6736000000000004</v>
      </c>
      <c r="L195" t="s">
        <v>4</v>
      </c>
      <c r="M195">
        <v>0</v>
      </c>
      <c r="N195">
        <v>0</v>
      </c>
      <c r="O195">
        <v>0</v>
      </c>
      <c r="P195">
        <v>0.31066700000000003</v>
      </c>
      <c r="Q195">
        <v>0.62133300000000002</v>
      </c>
      <c r="R195">
        <v>0.93200000000000005</v>
      </c>
      <c r="S195">
        <v>0.93200000000000005</v>
      </c>
    </row>
    <row r="196" spans="1:19" x14ac:dyDescent="0.25">
      <c r="A196" t="s">
        <v>2</v>
      </c>
      <c r="B196" t="s">
        <v>88</v>
      </c>
      <c r="C196" t="s">
        <v>89</v>
      </c>
      <c r="D196" t="s">
        <v>3</v>
      </c>
      <c r="E196" t="s">
        <v>385</v>
      </c>
      <c r="F196" t="s">
        <v>386</v>
      </c>
      <c r="G196" t="s">
        <v>378</v>
      </c>
      <c r="H196" t="s">
        <v>92</v>
      </c>
      <c r="J196">
        <v>51.1083</v>
      </c>
      <c r="K196">
        <v>6.8714000000000004</v>
      </c>
      <c r="L196" t="s">
        <v>4</v>
      </c>
      <c r="M196">
        <v>0</v>
      </c>
      <c r="N196">
        <v>0</v>
      </c>
      <c r="O196">
        <v>0</v>
      </c>
      <c r="P196">
        <v>0.26166699999999998</v>
      </c>
      <c r="Q196">
        <v>0.52333300000000005</v>
      </c>
      <c r="R196">
        <v>0.78500000000000003</v>
      </c>
      <c r="S196">
        <v>0.78500000000000003</v>
      </c>
    </row>
    <row r="197" spans="1:19" x14ac:dyDescent="0.25">
      <c r="A197" t="s">
        <v>2</v>
      </c>
      <c r="B197" t="s">
        <v>88</v>
      </c>
      <c r="C197" t="s">
        <v>89</v>
      </c>
      <c r="D197" t="s">
        <v>3</v>
      </c>
      <c r="E197" t="s">
        <v>284</v>
      </c>
      <c r="F197" t="s">
        <v>285</v>
      </c>
      <c r="G197" t="s">
        <v>378</v>
      </c>
      <c r="H197" t="s">
        <v>92</v>
      </c>
      <c r="J197">
        <v>51.105899999999998</v>
      </c>
      <c r="K197">
        <v>6.8810000000000002</v>
      </c>
      <c r="L197" t="s">
        <v>4</v>
      </c>
      <c r="M197">
        <v>0</v>
      </c>
      <c r="N197">
        <v>0</v>
      </c>
      <c r="O197">
        <v>0</v>
      </c>
      <c r="P197">
        <v>0.29199999999999998</v>
      </c>
      <c r="Q197">
        <v>0.58399999999999996</v>
      </c>
      <c r="R197">
        <v>0.876</v>
      </c>
      <c r="S197">
        <v>0.876</v>
      </c>
    </row>
    <row r="198" spans="1:19" x14ac:dyDescent="0.25">
      <c r="A198" t="s">
        <v>2</v>
      </c>
      <c r="B198" t="s">
        <v>88</v>
      </c>
      <c r="C198" t="s">
        <v>89</v>
      </c>
      <c r="D198" t="s">
        <v>3</v>
      </c>
      <c r="E198" t="s">
        <v>284</v>
      </c>
      <c r="F198" t="s">
        <v>285</v>
      </c>
      <c r="G198" t="s">
        <v>376</v>
      </c>
      <c r="H198" t="s">
        <v>92</v>
      </c>
      <c r="J198">
        <v>50.865000000000002</v>
      </c>
      <c r="K198">
        <v>6.9855999999999998</v>
      </c>
      <c r="L198" t="s">
        <v>4</v>
      </c>
      <c r="M198">
        <v>0</v>
      </c>
      <c r="N198">
        <v>0</v>
      </c>
      <c r="O198">
        <v>0</v>
      </c>
      <c r="P198">
        <v>0.30266700000000002</v>
      </c>
      <c r="Q198">
        <v>0.60533300000000001</v>
      </c>
      <c r="R198">
        <v>0.90800000000000003</v>
      </c>
      <c r="S198">
        <v>0.90800000000000003</v>
      </c>
    </row>
    <row r="199" spans="1:19" x14ac:dyDescent="0.25">
      <c r="A199" t="s">
        <v>2</v>
      </c>
      <c r="B199" t="s">
        <v>88</v>
      </c>
      <c r="C199" t="s">
        <v>89</v>
      </c>
      <c r="D199" t="s">
        <v>3</v>
      </c>
      <c r="E199" t="s">
        <v>284</v>
      </c>
      <c r="F199" t="s">
        <v>285</v>
      </c>
      <c r="G199" t="s">
        <v>380</v>
      </c>
      <c r="H199" t="s">
        <v>92</v>
      </c>
      <c r="J199">
        <v>51.105899999999998</v>
      </c>
      <c r="K199">
        <v>6.8810000000000002</v>
      </c>
      <c r="L199" t="s">
        <v>4</v>
      </c>
      <c r="M199">
        <v>0</v>
      </c>
      <c r="N199">
        <v>0</v>
      </c>
      <c r="O199">
        <v>0</v>
      </c>
      <c r="P199">
        <v>0.36199999999999999</v>
      </c>
      <c r="Q199">
        <v>0.72399999999999998</v>
      </c>
      <c r="R199">
        <v>1.0860000000000001</v>
      </c>
      <c r="S199">
        <v>1.0860000000000001</v>
      </c>
    </row>
    <row r="200" spans="1:19" x14ac:dyDescent="0.25">
      <c r="A200" t="s">
        <v>2</v>
      </c>
      <c r="B200" t="s">
        <v>88</v>
      </c>
      <c r="C200" t="s">
        <v>89</v>
      </c>
      <c r="D200" t="s">
        <v>3</v>
      </c>
      <c r="E200" t="s">
        <v>286</v>
      </c>
      <c r="F200" t="s">
        <v>287</v>
      </c>
      <c r="G200" t="s">
        <v>378</v>
      </c>
      <c r="H200" t="s">
        <v>92</v>
      </c>
      <c r="J200">
        <v>51.039900000000003</v>
      </c>
      <c r="K200">
        <v>6.992</v>
      </c>
      <c r="L200" t="s">
        <v>4</v>
      </c>
      <c r="M200">
        <v>0</v>
      </c>
      <c r="N200">
        <v>0</v>
      </c>
      <c r="O200">
        <v>0</v>
      </c>
      <c r="P200">
        <v>0.283333</v>
      </c>
      <c r="Q200">
        <v>0.56666700000000003</v>
      </c>
      <c r="R200">
        <v>0.85</v>
      </c>
      <c r="S200">
        <v>0.85</v>
      </c>
    </row>
    <row r="201" spans="1:19" x14ac:dyDescent="0.25">
      <c r="A201" t="s">
        <v>2</v>
      </c>
      <c r="B201" t="s">
        <v>88</v>
      </c>
      <c r="C201" t="s">
        <v>89</v>
      </c>
      <c r="D201" t="s">
        <v>3</v>
      </c>
      <c r="E201" t="s">
        <v>280</v>
      </c>
      <c r="F201" t="s">
        <v>281</v>
      </c>
      <c r="G201" t="s">
        <v>378</v>
      </c>
      <c r="H201" t="s">
        <v>92</v>
      </c>
      <c r="J201">
        <v>50.832700000000003</v>
      </c>
      <c r="K201">
        <v>6.9635999999999996</v>
      </c>
      <c r="L201" t="s">
        <v>4</v>
      </c>
      <c r="M201">
        <v>0</v>
      </c>
      <c r="N201">
        <v>0</v>
      </c>
      <c r="O201">
        <v>0</v>
      </c>
      <c r="P201">
        <v>0.189667</v>
      </c>
      <c r="Q201">
        <v>0.37933299999999998</v>
      </c>
      <c r="R201">
        <v>0.56899999999999995</v>
      </c>
      <c r="S201">
        <v>0.56899999999999995</v>
      </c>
    </row>
    <row r="202" spans="1:19" x14ac:dyDescent="0.25">
      <c r="A202" t="s">
        <v>2</v>
      </c>
      <c r="B202" t="s">
        <v>88</v>
      </c>
      <c r="C202" t="s">
        <v>89</v>
      </c>
      <c r="D202" t="s">
        <v>3</v>
      </c>
      <c r="E202" t="s">
        <v>280</v>
      </c>
      <c r="F202" t="s">
        <v>281</v>
      </c>
      <c r="G202" t="s">
        <v>376</v>
      </c>
      <c r="H202" t="s">
        <v>92</v>
      </c>
      <c r="J202">
        <v>50.832700000000003</v>
      </c>
      <c r="K202">
        <v>6.9635999999999996</v>
      </c>
      <c r="L202" t="s">
        <v>4</v>
      </c>
      <c r="M202">
        <v>0</v>
      </c>
      <c r="N202">
        <v>0</v>
      </c>
      <c r="O202">
        <v>0</v>
      </c>
      <c r="P202">
        <v>0.49833300000000003</v>
      </c>
      <c r="Q202">
        <v>0.99666699999999997</v>
      </c>
      <c r="R202">
        <v>1.4950000000000001</v>
      </c>
      <c r="S202">
        <v>1.4950000000000001</v>
      </c>
    </row>
    <row r="203" spans="1:19" x14ac:dyDescent="0.25">
      <c r="A203" t="s">
        <v>2</v>
      </c>
      <c r="B203" t="s">
        <v>88</v>
      </c>
      <c r="C203" t="s">
        <v>89</v>
      </c>
      <c r="D203" t="s">
        <v>3</v>
      </c>
      <c r="E203" t="s">
        <v>280</v>
      </c>
      <c r="F203" t="s">
        <v>281</v>
      </c>
      <c r="G203" t="s">
        <v>380</v>
      </c>
      <c r="H203" t="s">
        <v>92</v>
      </c>
      <c r="J203">
        <v>50.832700000000003</v>
      </c>
      <c r="K203">
        <v>6.9635999999999996</v>
      </c>
      <c r="L203" t="s">
        <v>4</v>
      </c>
      <c r="M203">
        <v>0</v>
      </c>
      <c r="N203">
        <v>0</v>
      </c>
      <c r="O203">
        <v>0</v>
      </c>
      <c r="P203">
        <v>0.29799999999999999</v>
      </c>
      <c r="Q203">
        <v>0.59599999999999997</v>
      </c>
      <c r="R203">
        <v>0.89400000000000002</v>
      </c>
      <c r="S203">
        <v>0.89400000000000002</v>
      </c>
    </row>
    <row r="204" spans="1:19" x14ac:dyDescent="0.25">
      <c r="A204" t="s">
        <v>2</v>
      </c>
      <c r="B204" t="s">
        <v>88</v>
      </c>
      <c r="C204" t="s">
        <v>89</v>
      </c>
      <c r="D204" t="s">
        <v>3</v>
      </c>
      <c r="E204" t="s">
        <v>387</v>
      </c>
      <c r="F204" t="s">
        <v>388</v>
      </c>
      <c r="G204" t="s">
        <v>376</v>
      </c>
      <c r="H204" t="s">
        <v>92</v>
      </c>
      <c r="J204">
        <v>51.572071000000001</v>
      </c>
      <c r="K204">
        <v>7.0358150000000004</v>
      </c>
      <c r="L204" t="s">
        <v>4</v>
      </c>
      <c r="M204">
        <v>0</v>
      </c>
      <c r="N204">
        <v>0</v>
      </c>
      <c r="O204">
        <v>0</v>
      </c>
      <c r="P204">
        <v>1.007333</v>
      </c>
      <c r="Q204">
        <v>2.0146670000000002</v>
      </c>
      <c r="R204">
        <v>3.0219999999999998</v>
      </c>
      <c r="S204">
        <v>3.0219999999999998</v>
      </c>
    </row>
    <row r="205" spans="1:19" x14ac:dyDescent="0.25">
      <c r="A205" t="s">
        <v>2</v>
      </c>
      <c r="B205" t="s">
        <v>88</v>
      </c>
      <c r="C205" t="s">
        <v>89</v>
      </c>
      <c r="D205" t="s">
        <v>3</v>
      </c>
      <c r="E205" t="s">
        <v>299</v>
      </c>
      <c r="F205" t="s">
        <v>389</v>
      </c>
      <c r="G205" t="s">
        <v>378</v>
      </c>
      <c r="H205" t="s">
        <v>92</v>
      </c>
      <c r="J205">
        <v>51.664999999999999</v>
      </c>
      <c r="K205">
        <v>7.1311</v>
      </c>
      <c r="L205" t="s">
        <v>4</v>
      </c>
      <c r="M205">
        <v>0</v>
      </c>
      <c r="N205">
        <v>0</v>
      </c>
      <c r="O205">
        <v>0</v>
      </c>
      <c r="P205">
        <v>0.39066699999999999</v>
      </c>
      <c r="Q205">
        <v>0.78133300000000006</v>
      </c>
      <c r="R205">
        <v>1.1719999999999999</v>
      </c>
      <c r="S205">
        <v>1.1719999999999999</v>
      </c>
    </row>
    <row r="206" spans="1:19" x14ac:dyDescent="0.25">
      <c r="A206" t="s">
        <v>2</v>
      </c>
      <c r="B206" t="s">
        <v>88</v>
      </c>
      <c r="C206" t="s">
        <v>89</v>
      </c>
      <c r="D206" t="s">
        <v>3</v>
      </c>
      <c r="E206" t="s">
        <v>242</v>
      </c>
      <c r="F206" t="s">
        <v>243</v>
      </c>
      <c r="G206" t="s">
        <v>378</v>
      </c>
      <c r="H206" t="s">
        <v>92</v>
      </c>
      <c r="J206">
        <v>49.508099999999999</v>
      </c>
      <c r="K206">
        <v>8.4046000000000003</v>
      </c>
      <c r="L206" t="s">
        <v>4</v>
      </c>
      <c r="M206">
        <v>0</v>
      </c>
      <c r="N206">
        <v>0</v>
      </c>
      <c r="O206">
        <v>0</v>
      </c>
      <c r="P206">
        <v>1.2829999999999999</v>
      </c>
      <c r="Q206">
        <v>2.5659999999999998</v>
      </c>
      <c r="R206">
        <v>3.8490000000000002</v>
      </c>
      <c r="S206">
        <v>3.8490000000000002</v>
      </c>
    </row>
    <row r="207" spans="1:19" x14ac:dyDescent="0.25">
      <c r="A207" t="s">
        <v>2</v>
      </c>
      <c r="B207" t="s">
        <v>88</v>
      </c>
      <c r="C207" t="s">
        <v>89</v>
      </c>
      <c r="D207" t="s">
        <v>3</v>
      </c>
      <c r="E207" t="s">
        <v>242</v>
      </c>
      <c r="F207" t="s">
        <v>243</v>
      </c>
      <c r="G207" t="s">
        <v>380</v>
      </c>
      <c r="H207" t="s">
        <v>92</v>
      </c>
      <c r="J207">
        <v>49.508099999999999</v>
      </c>
      <c r="K207">
        <v>8.4046000000000003</v>
      </c>
      <c r="L207" t="s">
        <v>4</v>
      </c>
      <c r="M207">
        <v>0</v>
      </c>
      <c r="N207">
        <v>0</v>
      </c>
      <c r="O207">
        <v>0</v>
      </c>
      <c r="P207">
        <v>0.190333</v>
      </c>
      <c r="Q207">
        <v>0.38066699999999998</v>
      </c>
      <c r="R207">
        <v>0.57099999999999995</v>
      </c>
      <c r="S207">
        <v>0.57099999999999995</v>
      </c>
    </row>
    <row r="208" spans="1:19" x14ac:dyDescent="0.25">
      <c r="A208" t="s">
        <v>2</v>
      </c>
      <c r="B208" t="s">
        <v>88</v>
      </c>
      <c r="C208" t="s">
        <v>89</v>
      </c>
      <c r="D208" t="s">
        <v>3</v>
      </c>
      <c r="E208" t="s">
        <v>390</v>
      </c>
      <c r="F208" t="s">
        <v>391</v>
      </c>
      <c r="G208" t="s">
        <v>380</v>
      </c>
      <c r="H208" t="s">
        <v>92</v>
      </c>
      <c r="J208">
        <v>51.207000000000001</v>
      </c>
      <c r="K208">
        <v>12.391</v>
      </c>
      <c r="L208" t="s">
        <v>4</v>
      </c>
      <c r="M208">
        <v>0</v>
      </c>
      <c r="N208">
        <v>0</v>
      </c>
      <c r="O208">
        <v>0</v>
      </c>
      <c r="P208">
        <v>0.27066699999999999</v>
      </c>
      <c r="Q208">
        <v>0.54133299999999995</v>
      </c>
      <c r="R208">
        <v>0.81200000000000006</v>
      </c>
      <c r="S208">
        <v>0.81200000000000006</v>
      </c>
    </row>
    <row r="209" spans="1:19" x14ac:dyDescent="0.25">
      <c r="A209" t="s">
        <v>2</v>
      </c>
      <c r="B209" t="s">
        <v>88</v>
      </c>
      <c r="C209" t="s">
        <v>89</v>
      </c>
      <c r="D209" t="s">
        <v>3</v>
      </c>
      <c r="E209" t="s">
        <v>322</v>
      </c>
      <c r="F209" t="s">
        <v>323</v>
      </c>
      <c r="G209" t="s">
        <v>378</v>
      </c>
      <c r="H209" t="s">
        <v>92</v>
      </c>
      <c r="J209">
        <v>51.317900000000002</v>
      </c>
      <c r="K209">
        <v>12.005000000000001</v>
      </c>
      <c r="L209" t="s">
        <v>4</v>
      </c>
      <c r="M209">
        <v>0</v>
      </c>
      <c r="N209">
        <v>0</v>
      </c>
      <c r="O209">
        <v>0</v>
      </c>
      <c r="P209">
        <v>0.526667</v>
      </c>
      <c r="Q209">
        <v>1.0533330000000001</v>
      </c>
      <c r="R209">
        <v>1.58</v>
      </c>
      <c r="S209">
        <v>1.58</v>
      </c>
    </row>
    <row r="210" spans="1:19" x14ac:dyDescent="0.25">
      <c r="A210" t="s">
        <v>2</v>
      </c>
      <c r="B210" t="s">
        <v>88</v>
      </c>
      <c r="C210" t="s">
        <v>89</v>
      </c>
      <c r="D210" t="s">
        <v>3</v>
      </c>
      <c r="E210" t="s">
        <v>322</v>
      </c>
      <c r="F210" t="s">
        <v>323</v>
      </c>
      <c r="G210" t="s">
        <v>376</v>
      </c>
      <c r="H210" t="s">
        <v>92</v>
      </c>
      <c r="J210">
        <v>51.317900000000002</v>
      </c>
      <c r="K210">
        <v>12.005000000000001</v>
      </c>
      <c r="L210" t="s">
        <v>4</v>
      </c>
      <c r="M210">
        <v>0</v>
      </c>
      <c r="N210">
        <v>0</v>
      </c>
      <c r="O210">
        <v>0</v>
      </c>
      <c r="P210">
        <v>0.42433300000000002</v>
      </c>
      <c r="Q210">
        <v>0.84866699999999995</v>
      </c>
      <c r="R210">
        <v>1.2729999999999999</v>
      </c>
      <c r="S210">
        <v>1.2729999999999999</v>
      </c>
    </row>
    <row r="211" spans="1:19" x14ac:dyDescent="0.25">
      <c r="A211" t="s">
        <v>2</v>
      </c>
      <c r="B211" t="s">
        <v>88</v>
      </c>
      <c r="C211" t="s">
        <v>89</v>
      </c>
      <c r="D211" t="s">
        <v>3</v>
      </c>
      <c r="E211" t="s">
        <v>392</v>
      </c>
      <c r="F211" t="s">
        <v>393</v>
      </c>
      <c r="G211" t="s">
        <v>378</v>
      </c>
      <c r="H211" t="s">
        <v>92</v>
      </c>
      <c r="J211">
        <v>53.901299999999999</v>
      </c>
      <c r="K211">
        <v>9.1219000000000001</v>
      </c>
      <c r="L211" t="s">
        <v>4</v>
      </c>
      <c r="M211">
        <v>0</v>
      </c>
      <c r="N211">
        <v>0</v>
      </c>
      <c r="O211">
        <v>0</v>
      </c>
      <c r="P211">
        <v>9.2999999999999999E-2</v>
      </c>
      <c r="Q211">
        <v>0.186</v>
      </c>
      <c r="R211">
        <v>0.27900000000000003</v>
      </c>
      <c r="S211">
        <v>0.27900000000000003</v>
      </c>
    </row>
    <row r="212" spans="1:19" x14ac:dyDescent="0.25">
      <c r="A212" t="s">
        <v>2</v>
      </c>
      <c r="B212" t="s">
        <v>88</v>
      </c>
      <c r="C212" t="s">
        <v>89</v>
      </c>
      <c r="D212" t="s">
        <v>3</v>
      </c>
      <c r="E212" t="s">
        <v>392</v>
      </c>
      <c r="F212" t="s">
        <v>393</v>
      </c>
      <c r="G212" t="s">
        <v>376</v>
      </c>
      <c r="H212" t="s">
        <v>92</v>
      </c>
      <c r="J212">
        <v>53.983279000000003</v>
      </c>
      <c r="K212">
        <v>9.0984610000000004</v>
      </c>
      <c r="L212" t="s">
        <v>4</v>
      </c>
      <c r="M212">
        <v>0</v>
      </c>
      <c r="N212">
        <v>0</v>
      </c>
      <c r="O212">
        <v>0</v>
      </c>
      <c r="P212">
        <v>0.62866699999999998</v>
      </c>
      <c r="Q212">
        <v>1.257333</v>
      </c>
      <c r="R212">
        <v>1.8859999999999999</v>
      </c>
      <c r="S212">
        <v>1.8859999999999999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F6EB-52E2-41B2-A000-F4DF9D1ACFD0}">
  <dimension ref="A1:S212"/>
  <sheetViews>
    <sheetView topLeftCell="A173" workbookViewId="0">
      <selection activeCell="A2" sqref="A2:S212"/>
    </sheetView>
  </sheetViews>
  <sheetFormatPr baseColWidth="10" defaultRowHeight="15" x14ac:dyDescent="0.25"/>
  <sheetData>
    <row r="1" spans="1:19" x14ac:dyDescent="0.25">
      <c r="A1" s="123" t="s">
        <v>78</v>
      </c>
      <c r="B1" s="123" t="s">
        <v>79</v>
      </c>
      <c r="C1" s="123" t="s">
        <v>80</v>
      </c>
      <c r="D1" s="123" t="s">
        <v>81</v>
      </c>
      <c r="E1" s="123" t="s">
        <v>82</v>
      </c>
      <c r="F1" s="123" t="s">
        <v>83</v>
      </c>
      <c r="G1" s="123" t="s">
        <v>84</v>
      </c>
      <c r="H1" s="123" t="s">
        <v>85</v>
      </c>
      <c r="I1" s="123" t="s">
        <v>86</v>
      </c>
      <c r="J1" s="123" t="s">
        <v>0</v>
      </c>
      <c r="K1" s="123" t="s">
        <v>1</v>
      </c>
      <c r="L1" s="123" t="s">
        <v>87</v>
      </c>
      <c r="M1" s="123">
        <v>2021</v>
      </c>
      <c r="N1" s="123">
        <v>2025</v>
      </c>
      <c r="O1" s="123">
        <v>2030</v>
      </c>
      <c r="P1" s="123">
        <v>2035</v>
      </c>
      <c r="Q1" s="123">
        <v>2040</v>
      </c>
      <c r="R1" s="123">
        <v>2045</v>
      </c>
      <c r="S1" s="123">
        <v>2050</v>
      </c>
    </row>
    <row r="2" spans="1:19" x14ac:dyDescent="0.25">
      <c r="A2" t="s">
        <v>5</v>
      </c>
      <c r="B2" t="s">
        <v>88</v>
      </c>
      <c r="C2" t="s">
        <v>89</v>
      </c>
      <c r="D2" t="s">
        <v>3</v>
      </c>
      <c r="E2" t="s">
        <v>90</v>
      </c>
      <c r="F2" t="s">
        <v>91</v>
      </c>
      <c r="G2" t="s">
        <v>6</v>
      </c>
      <c r="H2" t="s">
        <v>92</v>
      </c>
      <c r="J2">
        <v>48.653686829999998</v>
      </c>
      <c r="K2">
        <v>10.16246767</v>
      </c>
      <c r="L2" t="s">
        <v>4</v>
      </c>
      <c r="M2">
        <v>0.413052963327389</v>
      </c>
      <c r="N2">
        <v>0.36142134291146499</v>
      </c>
      <c r="O2">
        <v>0.39179288433259701</v>
      </c>
      <c r="P2">
        <v>0.35838418876935202</v>
      </c>
      <c r="Q2">
        <v>0.328012647348221</v>
      </c>
      <c r="R2">
        <v>0.294603951784976</v>
      </c>
      <c r="S2">
        <v>0.294603951784976</v>
      </c>
    </row>
    <row r="3" spans="1:19" x14ac:dyDescent="0.25">
      <c r="A3" t="s">
        <v>5</v>
      </c>
      <c r="B3" t="s">
        <v>88</v>
      </c>
      <c r="C3" t="s">
        <v>89</v>
      </c>
      <c r="D3" t="s">
        <v>3</v>
      </c>
      <c r="E3" t="s">
        <v>93</v>
      </c>
      <c r="F3" t="s">
        <v>94</v>
      </c>
      <c r="G3" t="s">
        <v>6</v>
      </c>
      <c r="H3" t="s">
        <v>92</v>
      </c>
      <c r="J3">
        <v>49.357679390000001</v>
      </c>
      <c r="K3">
        <v>8.6858323980000005</v>
      </c>
      <c r="L3" t="s">
        <v>4</v>
      </c>
      <c r="M3">
        <v>0.38308691573790599</v>
      </c>
      <c r="N3">
        <v>0.38308691573790599</v>
      </c>
      <c r="O3">
        <v>0.33520105127066702</v>
      </c>
      <c r="P3">
        <v>0.36336920683963098</v>
      </c>
      <c r="Q3">
        <v>0.33238423571377101</v>
      </c>
      <c r="R3">
        <v>0.304216080144807</v>
      </c>
      <c r="S3">
        <v>0.304216080144807</v>
      </c>
    </row>
    <row r="4" spans="1:19" x14ac:dyDescent="0.25">
      <c r="A4" t="s">
        <v>5</v>
      </c>
      <c r="B4" t="s">
        <v>88</v>
      </c>
      <c r="C4" t="s">
        <v>89</v>
      </c>
      <c r="D4" t="s">
        <v>3</v>
      </c>
      <c r="E4" t="s">
        <v>95</v>
      </c>
      <c r="F4" t="s">
        <v>96</v>
      </c>
      <c r="G4" t="s">
        <v>6</v>
      </c>
      <c r="H4" t="s">
        <v>92</v>
      </c>
      <c r="J4">
        <v>49.018412980000001</v>
      </c>
      <c r="K4">
        <v>8.6124897310000001</v>
      </c>
      <c r="L4" t="s">
        <v>4</v>
      </c>
      <c r="M4">
        <v>0.35976087886004599</v>
      </c>
      <c r="N4">
        <v>0.35976087886004599</v>
      </c>
      <c r="O4">
        <v>0.31479076900253999</v>
      </c>
      <c r="P4">
        <v>0.34124377480107299</v>
      </c>
      <c r="Q4">
        <v>0.31214546842268698</v>
      </c>
      <c r="R4">
        <v>0.28569246262415399</v>
      </c>
      <c r="S4">
        <v>0.28569246262415399</v>
      </c>
    </row>
    <row r="5" spans="1:19" x14ac:dyDescent="0.25">
      <c r="A5" t="s">
        <v>5</v>
      </c>
      <c r="B5" t="s">
        <v>88</v>
      </c>
      <c r="C5" t="s">
        <v>89</v>
      </c>
      <c r="D5" t="s">
        <v>3</v>
      </c>
      <c r="E5" t="s">
        <v>97</v>
      </c>
      <c r="F5" t="s">
        <v>98</v>
      </c>
      <c r="G5" t="s">
        <v>6</v>
      </c>
      <c r="H5" t="s">
        <v>92</v>
      </c>
      <c r="J5">
        <v>48.331986280000002</v>
      </c>
      <c r="K5">
        <v>9.7304687479999998</v>
      </c>
      <c r="L5" t="s">
        <v>4</v>
      </c>
      <c r="M5">
        <v>0.45278303799820202</v>
      </c>
      <c r="N5">
        <v>0.45278303799820202</v>
      </c>
      <c r="O5">
        <v>0.39618515824842598</v>
      </c>
      <c r="P5">
        <v>0.42947802868947099</v>
      </c>
      <c r="Q5">
        <v>0.39285587120432203</v>
      </c>
      <c r="R5">
        <v>0.35956300076327802</v>
      </c>
      <c r="S5">
        <v>0.35956300076327802</v>
      </c>
    </row>
    <row r="6" spans="1:19" x14ac:dyDescent="0.25">
      <c r="A6" t="s">
        <v>5</v>
      </c>
      <c r="B6" t="s">
        <v>88</v>
      </c>
      <c r="C6" t="s">
        <v>89</v>
      </c>
      <c r="D6" t="s">
        <v>3</v>
      </c>
      <c r="E6" t="s">
        <v>97</v>
      </c>
      <c r="F6" t="s">
        <v>98</v>
      </c>
      <c r="G6" t="s">
        <v>6</v>
      </c>
      <c r="H6" t="s">
        <v>92</v>
      </c>
      <c r="J6">
        <v>48.368603120000003</v>
      </c>
      <c r="K6">
        <v>9.7346784</v>
      </c>
      <c r="L6" t="s">
        <v>4</v>
      </c>
      <c r="M6">
        <v>0.60784703683851904</v>
      </c>
      <c r="N6">
        <v>0.60784703683851904</v>
      </c>
      <c r="O6">
        <v>0.53186615723370401</v>
      </c>
      <c r="P6">
        <v>0.57656079229535995</v>
      </c>
      <c r="Q6">
        <v>0.52739669372753795</v>
      </c>
      <c r="R6">
        <v>0.48270205866588201</v>
      </c>
      <c r="S6">
        <v>0.48270205866588201</v>
      </c>
    </row>
    <row r="7" spans="1:19" x14ac:dyDescent="0.25">
      <c r="A7" t="s">
        <v>5</v>
      </c>
      <c r="B7" t="s">
        <v>88</v>
      </c>
      <c r="C7" t="s">
        <v>89</v>
      </c>
      <c r="D7" t="s">
        <v>3</v>
      </c>
      <c r="E7" t="s">
        <v>99</v>
      </c>
      <c r="F7" t="s">
        <v>100</v>
      </c>
      <c r="G7" t="s">
        <v>6</v>
      </c>
      <c r="H7" t="s">
        <v>92</v>
      </c>
      <c r="J7">
        <v>48.227041210000003</v>
      </c>
      <c r="K7">
        <v>8.7790961079999992</v>
      </c>
      <c r="L7" t="s">
        <v>4</v>
      </c>
      <c r="M7">
        <v>0.52629559776287205</v>
      </c>
      <c r="N7">
        <v>0.52629559776287205</v>
      </c>
      <c r="O7">
        <v>0.46050864804251301</v>
      </c>
      <c r="P7">
        <v>0.49920685376037099</v>
      </c>
      <c r="Q7">
        <v>0.45663882747072698</v>
      </c>
      <c r="R7">
        <v>0.417940621752869</v>
      </c>
      <c r="S7">
        <v>0.417940621752869</v>
      </c>
    </row>
    <row r="8" spans="1:19" x14ac:dyDescent="0.25">
      <c r="A8" t="s">
        <v>5</v>
      </c>
      <c r="B8" t="s">
        <v>88</v>
      </c>
      <c r="C8" t="s">
        <v>89</v>
      </c>
      <c r="D8" t="s">
        <v>3</v>
      </c>
      <c r="E8" t="s">
        <v>101</v>
      </c>
      <c r="F8" t="s">
        <v>102</v>
      </c>
      <c r="G8" t="s">
        <v>6</v>
      </c>
      <c r="H8" t="s">
        <v>92</v>
      </c>
      <c r="J8">
        <v>53.874164919999998</v>
      </c>
      <c r="K8">
        <v>9.5832685959999999</v>
      </c>
      <c r="L8" t="s">
        <v>4</v>
      </c>
      <c r="M8">
        <v>0.79108328378517201</v>
      </c>
      <c r="N8">
        <v>0.79108328378517201</v>
      </c>
      <c r="O8">
        <v>0.69219787331202598</v>
      </c>
      <c r="P8">
        <v>0.75036576182564096</v>
      </c>
      <c r="Q8">
        <v>0.68638108446066404</v>
      </c>
      <c r="R8">
        <v>0.62821319594704805</v>
      </c>
      <c r="S8">
        <v>0.62821319594704805</v>
      </c>
    </row>
    <row r="9" spans="1:19" x14ac:dyDescent="0.25">
      <c r="A9" t="s">
        <v>5</v>
      </c>
      <c r="B9" t="s">
        <v>88</v>
      </c>
      <c r="C9" t="s">
        <v>89</v>
      </c>
      <c r="D9" t="s">
        <v>3</v>
      </c>
      <c r="E9" t="s">
        <v>103</v>
      </c>
      <c r="F9" t="s">
        <v>104</v>
      </c>
      <c r="G9" t="s">
        <v>6</v>
      </c>
      <c r="H9" t="s">
        <v>92</v>
      </c>
      <c r="J9">
        <v>52.349831299999998</v>
      </c>
      <c r="K9">
        <v>9.8859338710000007</v>
      </c>
      <c r="L9" t="s">
        <v>4</v>
      </c>
      <c r="M9">
        <v>0.46625867967203</v>
      </c>
      <c r="N9">
        <v>0.46625867967203</v>
      </c>
      <c r="O9">
        <v>0.40797634471302602</v>
      </c>
      <c r="P9">
        <v>0.442260071159499</v>
      </c>
      <c r="Q9">
        <v>0.404547972068379</v>
      </c>
      <c r="R9">
        <v>0.37026424562190602</v>
      </c>
      <c r="S9">
        <v>0.37026424562190602</v>
      </c>
    </row>
    <row r="10" spans="1:19" x14ac:dyDescent="0.25">
      <c r="A10" t="s">
        <v>5</v>
      </c>
      <c r="B10" t="s">
        <v>88</v>
      </c>
      <c r="C10" t="s">
        <v>89</v>
      </c>
      <c r="D10" t="s">
        <v>3</v>
      </c>
      <c r="E10" t="s">
        <v>105</v>
      </c>
      <c r="F10" t="s">
        <v>106</v>
      </c>
      <c r="G10" t="s">
        <v>6</v>
      </c>
      <c r="H10" t="s">
        <v>92</v>
      </c>
      <c r="J10">
        <v>51.765173730000001</v>
      </c>
      <c r="K10">
        <v>8.0540287880000001</v>
      </c>
      <c r="L10" t="s">
        <v>4</v>
      </c>
      <c r="M10">
        <v>0.41116984296132703</v>
      </c>
      <c r="N10">
        <v>0.41116984296132703</v>
      </c>
      <c r="O10">
        <v>0.35977361259116097</v>
      </c>
      <c r="P10">
        <v>0.390006689279494</v>
      </c>
      <c r="Q10">
        <v>0.35675030492232801</v>
      </c>
      <c r="R10">
        <v>0.32651722823399498</v>
      </c>
      <c r="S10">
        <v>0.32651722823399498</v>
      </c>
    </row>
    <row r="11" spans="1:19" x14ac:dyDescent="0.25">
      <c r="A11" t="s">
        <v>5</v>
      </c>
      <c r="B11" t="s">
        <v>88</v>
      </c>
      <c r="C11" t="s">
        <v>89</v>
      </c>
      <c r="D11" t="s">
        <v>3</v>
      </c>
      <c r="E11" t="s">
        <v>107</v>
      </c>
      <c r="F11" t="s">
        <v>108</v>
      </c>
      <c r="G11" t="s">
        <v>6</v>
      </c>
      <c r="H11" t="s">
        <v>92</v>
      </c>
      <c r="J11">
        <v>52.174985890000002</v>
      </c>
      <c r="K11">
        <v>7.8878276410000003</v>
      </c>
      <c r="L11" t="s">
        <v>4</v>
      </c>
      <c r="M11">
        <v>0.78009607741284603</v>
      </c>
      <c r="N11">
        <v>0.78009607741284603</v>
      </c>
      <c r="O11">
        <v>0.68258406773624003</v>
      </c>
      <c r="P11">
        <v>0.73994407342836099</v>
      </c>
      <c r="Q11">
        <v>0.67684806716702794</v>
      </c>
      <c r="R11">
        <v>0.61948806147490698</v>
      </c>
      <c r="S11">
        <v>0.61948806147490698</v>
      </c>
    </row>
    <row r="12" spans="1:19" x14ac:dyDescent="0.25">
      <c r="A12" t="s">
        <v>5</v>
      </c>
      <c r="B12" t="s">
        <v>88</v>
      </c>
      <c r="C12" t="s">
        <v>89</v>
      </c>
      <c r="D12" t="s">
        <v>3</v>
      </c>
      <c r="E12" t="s">
        <v>109</v>
      </c>
      <c r="F12" t="s">
        <v>110</v>
      </c>
      <c r="G12" t="s">
        <v>6</v>
      </c>
      <c r="H12" t="s">
        <v>92</v>
      </c>
      <c r="J12">
        <v>51.698988470000003</v>
      </c>
      <c r="K12">
        <v>8.7470409070000006</v>
      </c>
      <c r="L12" t="s">
        <v>4</v>
      </c>
      <c r="M12">
        <v>0.16345647054347501</v>
      </c>
      <c r="N12">
        <v>0.16345647054347501</v>
      </c>
      <c r="O12">
        <v>0.14302441172554001</v>
      </c>
      <c r="P12">
        <v>0.15504326985373701</v>
      </c>
      <c r="Q12">
        <v>0.14182252591272099</v>
      </c>
      <c r="R12">
        <v>0.12980366778452401</v>
      </c>
      <c r="S12">
        <v>0.12980366778452401</v>
      </c>
    </row>
    <row r="13" spans="1:19" x14ac:dyDescent="0.25">
      <c r="A13" t="s">
        <v>5</v>
      </c>
      <c r="B13" t="s">
        <v>88</v>
      </c>
      <c r="C13" t="s">
        <v>89</v>
      </c>
      <c r="D13" t="s">
        <v>3</v>
      </c>
      <c r="E13" t="s">
        <v>111</v>
      </c>
      <c r="F13" t="s">
        <v>112</v>
      </c>
      <c r="G13" t="s">
        <v>6</v>
      </c>
      <c r="H13" t="s">
        <v>92</v>
      </c>
      <c r="J13">
        <v>51.62256052</v>
      </c>
      <c r="K13">
        <v>8.5043928809999993</v>
      </c>
      <c r="L13" t="s">
        <v>4</v>
      </c>
      <c r="M13">
        <v>0.188015283069497</v>
      </c>
      <c r="N13">
        <v>0.188015283069497</v>
      </c>
      <c r="O13">
        <v>0.16451337268581001</v>
      </c>
      <c r="P13">
        <v>0.17833802585268399</v>
      </c>
      <c r="Q13">
        <v>0.163130907369122</v>
      </c>
      <c r="R13">
        <v>0.149306254202247</v>
      </c>
      <c r="S13">
        <v>0.149306254202247</v>
      </c>
    </row>
    <row r="14" spans="1:19" x14ac:dyDescent="0.25">
      <c r="A14" t="s">
        <v>5</v>
      </c>
      <c r="B14" t="s">
        <v>88</v>
      </c>
      <c r="C14" t="s">
        <v>89</v>
      </c>
      <c r="D14" t="s">
        <v>3</v>
      </c>
      <c r="E14" t="s">
        <v>111</v>
      </c>
      <c r="F14" t="s">
        <v>112</v>
      </c>
      <c r="G14" t="s">
        <v>6</v>
      </c>
      <c r="H14" t="s">
        <v>92</v>
      </c>
      <c r="J14">
        <v>51.597210140000001</v>
      </c>
      <c r="K14">
        <v>8.3346819449999998</v>
      </c>
      <c r="L14" t="s">
        <v>4</v>
      </c>
      <c r="M14">
        <v>0.28201554285508201</v>
      </c>
      <c r="N14">
        <v>0.28201554285508201</v>
      </c>
      <c r="O14">
        <v>0.246763599998197</v>
      </c>
      <c r="P14">
        <v>0.26750003697283498</v>
      </c>
      <c r="Q14">
        <v>0.24468995630073301</v>
      </c>
      <c r="R14">
        <v>0.223953519326095</v>
      </c>
      <c r="S14">
        <v>0.223953519326095</v>
      </c>
    </row>
    <row r="15" spans="1:19" x14ac:dyDescent="0.25">
      <c r="A15" t="s">
        <v>5</v>
      </c>
      <c r="B15" t="s">
        <v>88</v>
      </c>
      <c r="C15" t="s">
        <v>89</v>
      </c>
      <c r="D15" t="s">
        <v>3</v>
      </c>
      <c r="E15" t="s">
        <v>111</v>
      </c>
      <c r="F15" t="s">
        <v>112</v>
      </c>
      <c r="G15" t="s">
        <v>6</v>
      </c>
      <c r="H15" t="s">
        <v>92</v>
      </c>
      <c r="J15">
        <v>51.594684739999998</v>
      </c>
      <c r="K15">
        <v>8.3349065200000005</v>
      </c>
      <c r="L15" t="s">
        <v>4</v>
      </c>
      <c r="M15">
        <v>0.41794125142674299</v>
      </c>
      <c r="N15">
        <v>0.41794125142674299</v>
      </c>
      <c r="O15">
        <v>0.36569859499840002</v>
      </c>
      <c r="P15">
        <v>0.39642956936801299</v>
      </c>
      <c r="Q15">
        <v>0.36262549756143803</v>
      </c>
      <c r="R15">
        <v>0.331894523191825</v>
      </c>
      <c r="S15">
        <v>0.331894523191825</v>
      </c>
    </row>
    <row r="16" spans="1:19" x14ac:dyDescent="0.25">
      <c r="A16" t="s">
        <v>5</v>
      </c>
      <c r="B16" t="s">
        <v>88</v>
      </c>
      <c r="C16" t="s">
        <v>89</v>
      </c>
      <c r="D16" t="s">
        <v>3</v>
      </c>
      <c r="E16" t="s">
        <v>111</v>
      </c>
      <c r="F16" t="s">
        <v>112</v>
      </c>
      <c r="G16" t="s">
        <v>6</v>
      </c>
      <c r="H16" t="s">
        <v>92</v>
      </c>
      <c r="J16">
        <v>51.601120729999998</v>
      </c>
      <c r="K16">
        <v>8.3361264300000002</v>
      </c>
      <c r="L16" t="s">
        <v>4</v>
      </c>
      <c r="M16">
        <v>0.52548137523157701</v>
      </c>
      <c r="N16">
        <v>0.52548137523157701</v>
      </c>
      <c r="O16">
        <v>0.45979620332762999</v>
      </c>
      <c r="P16">
        <v>0.49843453974171598</v>
      </c>
      <c r="Q16">
        <v>0.45593236968622097</v>
      </c>
      <c r="R16">
        <v>0.41729403327213399</v>
      </c>
      <c r="S16">
        <v>0.41729403327213399</v>
      </c>
    </row>
    <row r="17" spans="1:19" x14ac:dyDescent="0.25">
      <c r="A17" t="s">
        <v>5</v>
      </c>
      <c r="B17" t="s">
        <v>88</v>
      </c>
      <c r="C17" t="s">
        <v>89</v>
      </c>
      <c r="D17" t="s">
        <v>3</v>
      </c>
      <c r="E17" t="s">
        <v>113</v>
      </c>
      <c r="F17" t="s">
        <v>114</v>
      </c>
      <c r="G17" t="s">
        <v>6</v>
      </c>
      <c r="H17" t="s">
        <v>92</v>
      </c>
      <c r="J17">
        <v>50.031909560000003</v>
      </c>
      <c r="K17">
        <v>8.2570017539999991</v>
      </c>
      <c r="L17" t="s">
        <v>4</v>
      </c>
      <c r="M17">
        <v>0.12881325683144099</v>
      </c>
      <c r="N17">
        <v>0.12881325683144099</v>
      </c>
      <c r="O17">
        <v>0.11271159972751101</v>
      </c>
      <c r="P17">
        <v>0.12218316272982201</v>
      </c>
      <c r="Q17">
        <v>0.11176444342727899</v>
      </c>
      <c r="R17">
        <v>0.10229288042496699</v>
      </c>
      <c r="S17">
        <v>0.10229288042496699</v>
      </c>
    </row>
    <row r="18" spans="1:19" x14ac:dyDescent="0.25">
      <c r="A18" t="s">
        <v>5</v>
      </c>
      <c r="B18" t="s">
        <v>88</v>
      </c>
      <c r="C18" t="s">
        <v>89</v>
      </c>
      <c r="D18" t="s">
        <v>3</v>
      </c>
      <c r="E18" t="s">
        <v>115</v>
      </c>
      <c r="F18" t="s">
        <v>116</v>
      </c>
      <c r="G18" t="s">
        <v>6</v>
      </c>
      <c r="H18" t="s">
        <v>92</v>
      </c>
      <c r="J18">
        <v>50.584524440000003</v>
      </c>
      <c r="K18">
        <v>9.5095189270000002</v>
      </c>
      <c r="L18" t="s">
        <v>4</v>
      </c>
      <c r="M18">
        <v>0.104529788748737</v>
      </c>
      <c r="N18">
        <v>0.104529788748737</v>
      </c>
      <c r="O18">
        <v>9.1463565155145601E-2</v>
      </c>
      <c r="P18">
        <v>9.9149579033729202E-2</v>
      </c>
      <c r="Q18">
        <v>9.0694963767287196E-2</v>
      </c>
      <c r="R18">
        <v>8.3008949888703498E-2</v>
      </c>
      <c r="S18">
        <v>8.3008949888703498E-2</v>
      </c>
    </row>
    <row r="19" spans="1:19" x14ac:dyDescent="0.25">
      <c r="A19" t="s">
        <v>5</v>
      </c>
      <c r="B19" t="s">
        <v>88</v>
      </c>
      <c r="C19" t="s">
        <v>89</v>
      </c>
      <c r="D19" t="s">
        <v>3</v>
      </c>
      <c r="E19" t="s">
        <v>117</v>
      </c>
      <c r="F19" t="s">
        <v>118</v>
      </c>
      <c r="G19" t="s">
        <v>6</v>
      </c>
      <c r="H19" t="s">
        <v>92</v>
      </c>
      <c r="J19">
        <v>50.333990059999998</v>
      </c>
      <c r="K19">
        <v>6.7668281370000001</v>
      </c>
      <c r="L19" t="s">
        <v>4</v>
      </c>
      <c r="M19">
        <v>0.13159180054383199</v>
      </c>
      <c r="N19">
        <v>0.13159180054383199</v>
      </c>
      <c r="O19">
        <v>0.115142825475853</v>
      </c>
      <c r="P19">
        <v>0.12481869316289999</v>
      </c>
      <c r="Q19">
        <v>0.114175238707149</v>
      </c>
      <c r="R19">
        <v>0.104499371020102</v>
      </c>
      <c r="S19">
        <v>0.104499371020102</v>
      </c>
    </row>
    <row r="20" spans="1:19" x14ac:dyDescent="0.25">
      <c r="A20" t="s">
        <v>5</v>
      </c>
      <c r="B20" t="s">
        <v>88</v>
      </c>
      <c r="C20" t="s">
        <v>89</v>
      </c>
      <c r="D20" t="s">
        <v>3</v>
      </c>
      <c r="E20" t="s">
        <v>119</v>
      </c>
      <c r="F20" t="s">
        <v>120</v>
      </c>
      <c r="G20" t="s">
        <v>6</v>
      </c>
      <c r="H20" t="s">
        <v>92</v>
      </c>
      <c r="J20">
        <v>49.601018850000003</v>
      </c>
      <c r="K20">
        <v>8.0413779420000004</v>
      </c>
      <c r="L20" t="s">
        <v>4</v>
      </c>
      <c r="M20">
        <v>0.52443019395808799</v>
      </c>
      <c r="N20">
        <v>0.52443019395808799</v>
      </c>
      <c r="O20">
        <v>0.45887641971332699</v>
      </c>
      <c r="P20">
        <v>0.49743746338671602</v>
      </c>
      <c r="Q20">
        <v>0.45502031534598802</v>
      </c>
      <c r="R20">
        <v>0.416459271672599</v>
      </c>
      <c r="S20">
        <v>0.416459271672599</v>
      </c>
    </row>
    <row r="21" spans="1:19" x14ac:dyDescent="0.25">
      <c r="A21" t="s">
        <v>5</v>
      </c>
      <c r="B21" t="s">
        <v>88</v>
      </c>
      <c r="C21" t="s">
        <v>89</v>
      </c>
      <c r="D21" t="s">
        <v>3</v>
      </c>
      <c r="E21" t="s">
        <v>121</v>
      </c>
      <c r="F21" t="s">
        <v>122</v>
      </c>
      <c r="G21" t="s">
        <v>6</v>
      </c>
      <c r="H21" t="s">
        <v>92</v>
      </c>
      <c r="J21">
        <v>47.790819620000001</v>
      </c>
      <c r="K21">
        <v>12.18159007</v>
      </c>
      <c r="L21" t="s">
        <v>4</v>
      </c>
      <c r="M21">
        <v>0.56116026818813902</v>
      </c>
      <c r="N21">
        <v>0.56116026818813902</v>
      </c>
      <c r="O21">
        <v>0.49101523466462199</v>
      </c>
      <c r="P21">
        <v>0.53227701909021996</v>
      </c>
      <c r="Q21">
        <v>0.48688905622206202</v>
      </c>
      <c r="R21">
        <v>0.445627271796463</v>
      </c>
      <c r="S21">
        <v>0.445627271796463</v>
      </c>
    </row>
    <row r="22" spans="1:19" x14ac:dyDescent="0.25">
      <c r="A22" t="s">
        <v>5</v>
      </c>
      <c r="B22" t="s">
        <v>88</v>
      </c>
      <c r="C22" t="s">
        <v>89</v>
      </c>
      <c r="D22" t="s">
        <v>3</v>
      </c>
      <c r="E22" t="s">
        <v>123</v>
      </c>
      <c r="F22" t="s">
        <v>124</v>
      </c>
      <c r="G22" t="s">
        <v>6</v>
      </c>
      <c r="H22" t="s">
        <v>92</v>
      </c>
      <c r="J22">
        <v>49.21283244</v>
      </c>
      <c r="K22">
        <v>12.028256949999999</v>
      </c>
      <c r="L22" t="s">
        <v>4</v>
      </c>
      <c r="M22">
        <v>0.65150501552253304</v>
      </c>
      <c r="N22">
        <v>0.65150501552253304</v>
      </c>
      <c r="O22">
        <v>0.57006688858221599</v>
      </c>
      <c r="P22">
        <v>0.61797166913534396</v>
      </c>
      <c r="Q22">
        <v>0.56527641052690403</v>
      </c>
      <c r="R22">
        <v>0.51737162997377595</v>
      </c>
      <c r="S22">
        <v>0.51737162997377595</v>
      </c>
    </row>
    <row r="23" spans="1:19" x14ac:dyDescent="0.25">
      <c r="A23" t="s">
        <v>5</v>
      </c>
      <c r="B23" t="s">
        <v>88</v>
      </c>
      <c r="C23" t="s">
        <v>89</v>
      </c>
      <c r="D23" t="s">
        <v>3</v>
      </c>
      <c r="E23" t="s">
        <v>125</v>
      </c>
      <c r="F23" t="s">
        <v>126</v>
      </c>
      <c r="G23" t="s">
        <v>6</v>
      </c>
      <c r="H23" t="s">
        <v>92</v>
      </c>
      <c r="J23">
        <v>48.884912460000002</v>
      </c>
      <c r="K23">
        <v>10.99769729</v>
      </c>
      <c r="L23" t="s">
        <v>4</v>
      </c>
      <c r="M23">
        <v>0.225386105508913</v>
      </c>
      <c r="N23">
        <v>0.225386105508913</v>
      </c>
      <c r="O23">
        <v>0.19721284232029901</v>
      </c>
      <c r="P23">
        <v>0.21378535007830701</v>
      </c>
      <c r="Q23">
        <v>0.195555591544498</v>
      </c>
      <c r="R23">
        <v>0.178983083786489</v>
      </c>
      <c r="S23">
        <v>0.178983083786489</v>
      </c>
    </row>
    <row r="24" spans="1:19" x14ac:dyDescent="0.25">
      <c r="A24" t="s">
        <v>5</v>
      </c>
      <c r="B24" t="s">
        <v>88</v>
      </c>
      <c r="C24" t="s">
        <v>89</v>
      </c>
      <c r="D24" t="s">
        <v>3</v>
      </c>
      <c r="E24" t="s">
        <v>127</v>
      </c>
      <c r="F24" t="s">
        <v>128</v>
      </c>
      <c r="G24" t="s">
        <v>6</v>
      </c>
      <c r="H24" t="s">
        <v>92</v>
      </c>
      <c r="J24">
        <v>49.808461000000001</v>
      </c>
      <c r="K24">
        <v>9.6178912790000002</v>
      </c>
      <c r="L24" t="s">
        <v>4</v>
      </c>
      <c r="M24">
        <v>0.47044937919281599</v>
      </c>
      <c r="N24">
        <v>0.47044937919281599</v>
      </c>
      <c r="O24">
        <v>0.41164320679371402</v>
      </c>
      <c r="P24">
        <v>0.44623507291083198</v>
      </c>
      <c r="Q24">
        <v>0.40818402018200201</v>
      </c>
      <c r="R24">
        <v>0.373592154064883</v>
      </c>
      <c r="S24">
        <v>0.373592154064883</v>
      </c>
    </row>
    <row r="25" spans="1:19" x14ac:dyDescent="0.25">
      <c r="A25" t="s">
        <v>5</v>
      </c>
      <c r="B25" t="s">
        <v>88</v>
      </c>
      <c r="C25" t="s">
        <v>89</v>
      </c>
      <c r="D25" t="s">
        <v>3</v>
      </c>
      <c r="E25" t="s">
        <v>127</v>
      </c>
      <c r="F25" t="s">
        <v>128</v>
      </c>
      <c r="G25" t="s">
        <v>6</v>
      </c>
      <c r="H25" t="s">
        <v>92</v>
      </c>
      <c r="J25">
        <v>49.955004879999997</v>
      </c>
      <c r="K25">
        <v>9.7685104519999992</v>
      </c>
      <c r="L25" t="s">
        <v>4</v>
      </c>
      <c r="M25">
        <v>0.42839917624990098</v>
      </c>
      <c r="N25">
        <v>0.42839917624990098</v>
      </c>
      <c r="O25">
        <v>0.37484927921866301</v>
      </c>
      <c r="P25">
        <v>0.40634921864880302</v>
      </c>
      <c r="Q25">
        <v>0.37169928527564899</v>
      </c>
      <c r="R25">
        <v>0.34019934584550998</v>
      </c>
      <c r="S25">
        <v>0.34019934584550998</v>
      </c>
    </row>
    <row r="26" spans="1:19" x14ac:dyDescent="0.25">
      <c r="A26" t="s">
        <v>5</v>
      </c>
      <c r="B26" t="s">
        <v>88</v>
      </c>
      <c r="C26" t="s">
        <v>89</v>
      </c>
      <c r="D26" t="s">
        <v>3</v>
      </c>
      <c r="E26" t="s">
        <v>129</v>
      </c>
      <c r="F26" t="s">
        <v>130</v>
      </c>
      <c r="G26" t="s">
        <v>6</v>
      </c>
      <c r="H26" t="s">
        <v>92</v>
      </c>
      <c r="J26">
        <v>48.776732469999999</v>
      </c>
      <c r="K26">
        <v>10.70031679</v>
      </c>
      <c r="L26" t="s">
        <v>4</v>
      </c>
      <c r="M26">
        <v>0.442258676145937</v>
      </c>
      <c r="N26">
        <v>0.442258676145937</v>
      </c>
      <c r="O26">
        <v>0.38697634162769401</v>
      </c>
      <c r="P26">
        <v>0.419495361932543</v>
      </c>
      <c r="Q26">
        <v>0.38372443959720998</v>
      </c>
      <c r="R26">
        <v>0.35120541929236099</v>
      </c>
      <c r="S26">
        <v>0.35120541929236099</v>
      </c>
    </row>
    <row r="27" spans="1:19" x14ac:dyDescent="0.25">
      <c r="A27" t="s">
        <v>5</v>
      </c>
      <c r="B27" t="s">
        <v>88</v>
      </c>
      <c r="C27" t="s">
        <v>89</v>
      </c>
      <c r="D27" t="s">
        <v>3</v>
      </c>
      <c r="E27" t="s">
        <v>131</v>
      </c>
      <c r="F27" t="s">
        <v>132</v>
      </c>
      <c r="G27" t="s">
        <v>6</v>
      </c>
      <c r="H27" t="s">
        <v>92</v>
      </c>
      <c r="J27">
        <v>52.489069260000001</v>
      </c>
      <c r="K27">
        <v>13.836929169999999</v>
      </c>
      <c r="L27" t="s">
        <v>4</v>
      </c>
      <c r="M27">
        <v>0.96694576009118305</v>
      </c>
      <c r="N27">
        <v>0.96694576009118305</v>
      </c>
      <c r="O27">
        <v>0.84607754007978497</v>
      </c>
      <c r="P27">
        <v>0.91717649302766602</v>
      </c>
      <c r="Q27">
        <v>0.83896764478499697</v>
      </c>
      <c r="R27">
        <v>0.76786869183711604</v>
      </c>
      <c r="S27">
        <v>0.76786869183711604</v>
      </c>
    </row>
    <row r="28" spans="1:19" x14ac:dyDescent="0.25">
      <c r="A28" t="s">
        <v>5</v>
      </c>
      <c r="B28" t="s">
        <v>88</v>
      </c>
      <c r="C28" t="s">
        <v>89</v>
      </c>
      <c r="D28" t="s">
        <v>3</v>
      </c>
      <c r="E28" t="s">
        <v>133</v>
      </c>
      <c r="F28" t="s">
        <v>134</v>
      </c>
      <c r="G28" t="s">
        <v>6</v>
      </c>
      <c r="H28" t="s">
        <v>92</v>
      </c>
      <c r="J28">
        <v>51.816375209999997</v>
      </c>
      <c r="K28">
        <v>11.7496466</v>
      </c>
      <c r="L28" t="s">
        <v>4</v>
      </c>
      <c r="M28">
        <v>0.50412187408226805</v>
      </c>
      <c r="N28">
        <v>0.50412187408226805</v>
      </c>
      <c r="O28">
        <v>0.441106639821984</v>
      </c>
      <c r="P28">
        <v>0.47817442468097399</v>
      </c>
      <c r="Q28">
        <v>0.43739986133608499</v>
      </c>
      <c r="R28">
        <v>0.40033207647709501</v>
      </c>
      <c r="S28">
        <v>0.40033207647709501</v>
      </c>
    </row>
    <row r="29" spans="1:19" x14ac:dyDescent="0.25">
      <c r="A29" t="s">
        <v>5</v>
      </c>
      <c r="B29" t="s">
        <v>88</v>
      </c>
      <c r="C29" t="s">
        <v>89</v>
      </c>
      <c r="D29" t="s">
        <v>3</v>
      </c>
      <c r="E29" t="s">
        <v>135</v>
      </c>
      <c r="F29" t="s">
        <v>136</v>
      </c>
      <c r="G29" t="s">
        <v>6</v>
      </c>
      <c r="H29" t="s">
        <v>92</v>
      </c>
      <c r="J29">
        <v>51.271111779999998</v>
      </c>
      <c r="K29">
        <v>11.654702629999999</v>
      </c>
      <c r="L29" t="s">
        <v>4</v>
      </c>
      <c r="M29">
        <v>0.69072057244524199</v>
      </c>
      <c r="N29">
        <v>0.69072057244524199</v>
      </c>
      <c r="O29">
        <v>0.60438050088958695</v>
      </c>
      <c r="P29">
        <v>0.65516877827526698</v>
      </c>
      <c r="Q29">
        <v>0.59930167315101901</v>
      </c>
      <c r="R29">
        <v>0.54851339576533897</v>
      </c>
      <c r="S29">
        <v>0.54851339576533897</v>
      </c>
    </row>
    <row r="30" spans="1:19" x14ac:dyDescent="0.25">
      <c r="A30" t="s">
        <v>5</v>
      </c>
      <c r="B30" t="s">
        <v>88</v>
      </c>
      <c r="C30" t="s">
        <v>89</v>
      </c>
      <c r="D30" t="s">
        <v>3</v>
      </c>
      <c r="E30" t="s">
        <v>137</v>
      </c>
      <c r="F30" t="s">
        <v>138</v>
      </c>
      <c r="G30" t="s">
        <v>6</v>
      </c>
      <c r="H30" t="s">
        <v>92</v>
      </c>
      <c r="J30">
        <v>51.362759730000001</v>
      </c>
      <c r="K30">
        <v>10.483568269999999</v>
      </c>
      <c r="L30" t="s">
        <v>4</v>
      </c>
      <c r="M30">
        <v>0.78788028142035005</v>
      </c>
      <c r="N30">
        <v>0.78788028142035005</v>
      </c>
      <c r="O30">
        <v>0.68939524624280701</v>
      </c>
      <c r="P30">
        <v>0.74732761987665597</v>
      </c>
      <c r="Q30">
        <v>0.68360200887942202</v>
      </c>
      <c r="R30">
        <v>0.62566963524557195</v>
      </c>
      <c r="S30">
        <v>0.62566963524557195</v>
      </c>
    </row>
    <row r="31" spans="1:19" x14ac:dyDescent="0.25">
      <c r="A31" t="s">
        <v>5</v>
      </c>
      <c r="B31" t="s">
        <v>88</v>
      </c>
      <c r="C31" t="s">
        <v>89</v>
      </c>
      <c r="D31" t="s">
        <v>3</v>
      </c>
      <c r="E31" t="s">
        <v>105</v>
      </c>
      <c r="F31" t="s">
        <v>106</v>
      </c>
      <c r="G31" t="s">
        <v>6</v>
      </c>
      <c r="H31" t="s">
        <v>92</v>
      </c>
      <c r="J31">
        <v>51.760245959999999</v>
      </c>
      <c r="K31">
        <v>8.0731712420000008</v>
      </c>
      <c r="L31" t="s">
        <v>4</v>
      </c>
      <c r="M31">
        <v>0.21346361358792901</v>
      </c>
      <c r="N31">
        <v>0.21346361358792901</v>
      </c>
      <c r="O31">
        <v>0.18678066188943801</v>
      </c>
      <c r="P31">
        <v>0.20247651582972701</v>
      </c>
      <c r="Q31">
        <v>0.18521107649540899</v>
      </c>
      <c r="R31">
        <v>0.16951522255512</v>
      </c>
      <c r="S31">
        <v>0.16951522255512</v>
      </c>
    </row>
    <row r="32" spans="1:19" x14ac:dyDescent="0.25">
      <c r="A32" t="s">
        <v>5</v>
      </c>
      <c r="B32" t="s">
        <v>88</v>
      </c>
      <c r="C32" t="s">
        <v>89</v>
      </c>
      <c r="D32" t="s">
        <v>3</v>
      </c>
      <c r="E32" t="s">
        <v>115</v>
      </c>
      <c r="F32" t="s">
        <v>116</v>
      </c>
      <c r="G32" t="s">
        <v>139</v>
      </c>
      <c r="H32" t="s">
        <v>92</v>
      </c>
      <c r="J32">
        <v>50.584319999999998</v>
      </c>
      <c r="K32">
        <v>9.5092449999999999</v>
      </c>
      <c r="L32" t="s">
        <v>4</v>
      </c>
      <c r="M32">
        <v>3.33702712068836E-2</v>
      </c>
      <c r="N32">
        <v>2.59546553831317E-2</v>
      </c>
      <c r="O32">
        <v>3.1145586459757998E-2</v>
      </c>
      <c r="P32">
        <v>2.59546553831317E-2</v>
      </c>
      <c r="Q32">
        <v>2.3729970636006101E-2</v>
      </c>
      <c r="R32">
        <v>2.2246847471255701E-2</v>
      </c>
      <c r="S32">
        <v>2.2246847471255701E-2</v>
      </c>
    </row>
    <row r="33" spans="1:19" x14ac:dyDescent="0.25">
      <c r="A33" t="s">
        <v>5</v>
      </c>
      <c r="B33" t="s">
        <v>88</v>
      </c>
      <c r="C33" t="s">
        <v>89</v>
      </c>
      <c r="D33" t="s">
        <v>3</v>
      </c>
      <c r="E33" t="s">
        <v>140</v>
      </c>
      <c r="F33" t="s">
        <v>141</v>
      </c>
      <c r="G33" t="s">
        <v>139</v>
      </c>
      <c r="H33" t="s">
        <v>92</v>
      </c>
      <c r="J33">
        <v>50.808852000000002</v>
      </c>
      <c r="K33">
        <v>12.09295</v>
      </c>
      <c r="L33" t="s">
        <v>4</v>
      </c>
      <c r="M33">
        <v>5.3444486245335897E-2</v>
      </c>
      <c r="N33">
        <v>4.1567933746372403E-2</v>
      </c>
      <c r="O33">
        <v>4.9881520495646897E-2</v>
      </c>
      <c r="P33">
        <v>4.1567933746372403E-2</v>
      </c>
      <c r="Q33">
        <v>3.8004967996683299E-2</v>
      </c>
      <c r="R33">
        <v>3.56296574968906E-2</v>
      </c>
      <c r="S33">
        <v>3.56296574968906E-2</v>
      </c>
    </row>
    <row r="34" spans="1:19" x14ac:dyDescent="0.25">
      <c r="A34" t="s">
        <v>5</v>
      </c>
      <c r="B34" t="s">
        <v>88</v>
      </c>
      <c r="C34" t="s">
        <v>89</v>
      </c>
      <c r="D34" t="s">
        <v>3</v>
      </c>
      <c r="E34" t="s">
        <v>142</v>
      </c>
      <c r="F34" t="s">
        <v>143</v>
      </c>
      <c r="G34" t="s">
        <v>139</v>
      </c>
      <c r="H34" t="s">
        <v>92</v>
      </c>
      <c r="J34">
        <v>51.647706999999997</v>
      </c>
      <c r="K34">
        <v>10.087452000000001</v>
      </c>
      <c r="L34" t="s">
        <v>4</v>
      </c>
      <c r="M34">
        <v>2.46070259929876E-2</v>
      </c>
      <c r="N34">
        <v>1.91387979945459E-2</v>
      </c>
      <c r="O34">
        <v>2.29665575934551E-2</v>
      </c>
      <c r="P34">
        <v>1.91387979945459E-2</v>
      </c>
      <c r="Q34">
        <v>1.74983295950134E-2</v>
      </c>
      <c r="R34">
        <v>1.64046839953251E-2</v>
      </c>
      <c r="S34">
        <v>1.64046839953251E-2</v>
      </c>
    </row>
    <row r="35" spans="1:19" x14ac:dyDescent="0.25">
      <c r="A35" t="s">
        <v>5</v>
      </c>
      <c r="B35" t="s">
        <v>88</v>
      </c>
      <c r="C35" t="s">
        <v>89</v>
      </c>
      <c r="D35" t="s">
        <v>3</v>
      </c>
      <c r="E35" t="s">
        <v>131</v>
      </c>
      <c r="F35" t="s">
        <v>132</v>
      </c>
      <c r="G35" t="s">
        <v>139</v>
      </c>
      <c r="H35" t="s">
        <v>92</v>
      </c>
      <c r="J35">
        <v>52.490088</v>
      </c>
      <c r="K35">
        <v>13.838051</v>
      </c>
      <c r="L35" t="s">
        <v>4</v>
      </c>
      <c r="M35">
        <v>9.4549259480611297E-2</v>
      </c>
      <c r="N35">
        <v>7.3538312929364302E-2</v>
      </c>
      <c r="O35">
        <v>8.8245975515237204E-2</v>
      </c>
      <c r="P35">
        <v>7.3538312929364302E-2</v>
      </c>
      <c r="Q35">
        <v>6.7235028963990195E-2</v>
      </c>
      <c r="R35">
        <v>6.3032839653740805E-2</v>
      </c>
      <c r="S35">
        <v>6.3032839653740805E-2</v>
      </c>
    </row>
    <row r="36" spans="1:19" x14ac:dyDescent="0.25">
      <c r="A36" t="s">
        <v>5</v>
      </c>
      <c r="B36" t="s">
        <v>88</v>
      </c>
      <c r="C36" t="s">
        <v>89</v>
      </c>
      <c r="D36" t="s">
        <v>3</v>
      </c>
      <c r="E36" t="s">
        <v>144</v>
      </c>
      <c r="F36" t="s">
        <v>145</v>
      </c>
      <c r="G36" t="s">
        <v>139</v>
      </c>
      <c r="H36" t="s">
        <v>92</v>
      </c>
      <c r="J36">
        <v>51.844586</v>
      </c>
      <c r="K36">
        <v>10.18979</v>
      </c>
      <c r="L36" t="s">
        <v>4</v>
      </c>
      <c r="M36">
        <v>0.153462078859082</v>
      </c>
      <c r="N36">
        <v>0.119359394668175</v>
      </c>
      <c r="O36">
        <v>0.14323127360181001</v>
      </c>
      <c r="P36">
        <v>0.119359394668175</v>
      </c>
      <c r="Q36">
        <v>0.109128589410902</v>
      </c>
      <c r="R36">
        <v>0.10230805257272101</v>
      </c>
      <c r="S36">
        <v>0.10230805257272101</v>
      </c>
    </row>
    <row r="37" spans="1:19" x14ac:dyDescent="0.25">
      <c r="A37" t="s">
        <v>5</v>
      </c>
      <c r="B37" t="s">
        <v>88</v>
      </c>
      <c r="C37" t="s">
        <v>89</v>
      </c>
      <c r="D37" t="s">
        <v>3</v>
      </c>
      <c r="E37" t="s">
        <v>146</v>
      </c>
      <c r="F37" t="s">
        <v>147</v>
      </c>
      <c r="G37" t="s">
        <v>139</v>
      </c>
      <c r="H37" t="s">
        <v>92</v>
      </c>
      <c r="J37">
        <v>48.890949999999997</v>
      </c>
      <c r="K37">
        <v>11.932119999999999</v>
      </c>
      <c r="L37" t="s">
        <v>4</v>
      </c>
      <c r="M37">
        <v>0.140122014898131</v>
      </c>
      <c r="N37">
        <v>0.108983789365213</v>
      </c>
      <c r="O37">
        <v>0.130780547238256</v>
      </c>
      <c r="P37">
        <v>0.108983789365213</v>
      </c>
      <c r="Q37">
        <v>9.9642321705338099E-2</v>
      </c>
      <c r="R37">
        <v>9.3414676598754395E-2</v>
      </c>
      <c r="S37">
        <v>9.3414676598754395E-2</v>
      </c>
    </row>
    <row r="38" spans="1:19" x14ac:dyDescent="0.25">
      <c r="A38" t="s">
        <v>5</v>
      </c>
      <c r="B38" t="s">
        <v>88</v>
      </c>
      <c r="C38" t="s">
        <v>89</v>
      </c>
      <c r="D38" t="s">
        <v>3</v>
      </c>
      <c r="E38" t="s">
        <v>148</v>
      </c>
      <c r="F38" t="s">
        <v>149</v>
      </c>
      <c r="G38" t="s">
        <v>139</v>
      </c>
      <c r="H38" t="s">
        <v>92</v>
      </c>
      <c r="J38">
        <v>51.247683000000002</v>
      </c>
      <c r="K38">
        <v>7.0445830000000003</v>
      </c>
      <c r="L38" t="s">
        <v>4</v>
      </c>
      <c r="M38">
        <v>0.11501481335892901</v>
      </c>
      <c r="N38">
        <v>8.9455965945834201E-2</v>
      </c>
      <c r="O38">
        <v>0.10734715913500099</v>
      </c>
      <c r="P38">
        <v>8.9455965945834201E-2</v>
      </c>
      <c r="Q38">
        <v>8.1788311721905593E-2</v>
      </c>
      <c r="R38">
        <v>7.6676542239286494E-2</v>
      </c>
      <c r="S38">
        <v>7.6676542239286494E-2</v>
      </c>
    </row>
    <row r="39" spans="1:19" x14ac:dyDescent="0.25">
      <c r="A39" t="s">
        <v>5</v>
      </c>
      <c r="B39" t="s">
        <v>88</v>
      </c>
      <c r="C39" t="s">
        <v>89</v>
      </c>
      <c r="D39" t="s">
        <v>3</v>
      </c>
      <c r="E39" t="s">
        <v>150</v>
      </c>
      <c r="F39" t="s">
        <v>151</v>
      </c>
      <c r="G39" t="s">
        <v>139</v>
      </c>
      <c r="H39" t="s">
        <v>92</v>
      </c>
      <c r="J39">
        <v>51.755471</v>
      </c>
      <c r="K39">
        <v>10.825817000000001</v>
      </c>
      <c r="L39" t="s">
        <v>4</v>
      </c>
      <c r="M39">
        <v>0.38830181343613601</v>
      </c>
      <c r="N39">
        <v>0.30201252156143898</v>
      </c>
      <c r="O39">
        <v>0.36241502587372698</v>
      </c>
      <c r="P39">
        <v>0.30201252156143898</v>
      </c>
      <c r="Q39">
        <v>0.27612573399903001</v>
      </c>
      <c r="R39">
        <v>0.25886787562409003</v>
      </c>
      <c r="S39">
        <v>0.25886787562409003</v>
      </c>
    </row>
    <row r="40" spans="1:19" x14ac:dyDescent="0.25">
      <c r="A40" t="s">
        <v>5</v>
      </c>
      <c r="B40" t="s">
        <v>88</v>
      </c>
      <c r="C40" t="s">
        <v>89</v>
      </c>
      <c r="D40" t="s">
        <v>3</v>
      </c>
      <c r="E40" t="s">
        <v>152</v>
      </c>
      <c r="F40" t="s">
        <v>153</v>
      </c>
      <c r="G40" t="s">
        <v>139</v>
      </c>
      <c r="H40" t="s">
        <v>92</v>
      </c>
      <c r="J40">
        <v>47.658802999999999</v>
      </c>
      <c r="K40">
        <v>7.5460190000000003</v>
      </c>
      <c r="L40" t="s">
        <v>4</v>
      </c>
      <c r="M40">
        <v>8.5133940614013401E-2</v>
      </c>
      <c r="N40">
        <v>6.6215287144232596E-2</v>
      </c>
      <c r="O40">
        <v>7.9458344573079195E-2</v>
      </c>
      <c r="P40">
        <v>6.6215287144232596E-2</v>
      </c>
      <c r="Q40">
        <v>6.0539691103298397E-2</v>
      </c>
      <c r="R40">
        <v>5.67559604093422E-2</v>
      </c>
      <c r="S40">
        <v>5.67559604093422E-2</v>
      </c>
    </row>
    <row r="41" spans="1:19" x14ac:dyDescent="0.25">
      <c r="A41" t="s">
        <v>5</v>
      </c>
      <c r="B41" t="s">
        <v>88</v>
      </c>
      <c r="C41" t="s">
        <v>89</v>
      </c>
      <c r="D41" t="s">
        <v>3</v>
      </c>
      <c r="E41" t="s">
        <v>146</v>
      </c>
      <c r="F41" t="s">
        <v>147</v>
      </c>
      <c r="G41" t="s">
        <v>139</v>
      </c>
      <c r="H41" t="s">
        <v>92</v>
      </c>
      <c r="J41">
        <v>49.008715000000002</v>
      </c>
      <c r="K41">
        <v>11.824687000000001</v>
      </c>
      <c r="L41" t="s">
        <v>4</v>
      </c>
      <c r="M41">
        <v>0.140122014898131</v>
      </c>
      <c r="N41">
        <v>0.108983789365213</v>
      </c>
      <c r="O41">
        <v>0.130780547238256</v>
      </c>
      <c r="P41">
        <v>0.108983789365213</v>
      </c>
      <c r="Q41">
        <v>9.9642321705338099E-2</v>
      </c>
      <c r="R41">
        <v>9.3414676598754395E-2</v>
      </c>
      <c r="S41">
        <v>9.3414676598754395E-2</v>
      </c>
    </row>
    <row r="42" spans="1:19" x14ac:dyDescent="0.25">
      <c r="A42" t="s">
        <v>5</v>
      </c>
      <c r="B42" t="s">
        <v>88</v>
      </c>
      <c r="C42" t="s">
        <v>89</v>
      </c>
      <c r="D42" t="s">
        <v>3</v>
      </c>
      <c r="E42" t="s">
        <v>154</v>
      </c>
      <c r="F42" t="s">
        <v>155</v>
      </c>
      <c r="G42" t="s">
        <v>139</v>
      </c>
      <c r="H42" t="s">
        <v>92</v>
      </c>
      <c r="J42">
        <v>51.140329999999999</v>
      </c>
      <c r="K42">
        <v>8.025404</v>
      </c>
      <c r="L42" t="s">
        <v>4</v>
      </c>
      <c r="M42">
        <v>2.4596615522402901E-2</v>
      </c>
      <c r="N42">
        <v>1.9130700961868901E-2</v>
      </c>
      <c r="O42">
        <v>2.2956841154242701E-2</v>
      </c>
      <c r="P42">
        <v>1.9130700961868901E-2</v>
      </c>
      <c r="Q42">
        <v>1.7490926593708701E-2</v>
      </c>
      <c r="R42">
        <v>1.6397743681601899E-2</v>
      </c>
      <c r="S42">
        <v>1.6397743681601899E-2</v>
      </c>
    </row>
    <row r="43" spans="1:19" x14ac:dyDescent="0.25">
      <c r="A43" t="s">
        <v>5</v>
      </c>
      <c r="B43" t="s">
        <v>88</v>
      </c>
      <c r="C43" t="s">
        <v>89</v>
      </c>
      <c r="D43" t="s">
        <v>3</v>
      </c>
      <c r="E43" t="s">
        <v>156</v>
      </c>
      <c r="F43" t="s">
        <v>157</v>
      </c>
      <c r="G43" t="s">
        <v>139</v>
      </c>
      <c r="H43" t="s">
        <v>92</v>
      </c>
      <c r="J43">
        <v>50.419099000000003</v>
      </c>
      <c r="K43">
        <v>8.1118000000000006</v>
      </c>
      <c r="L43" t="s">
        <v>4</v>
      </c>
      <c r="M43">
        <v>0.13685265570757199</v>
      </c>
      <c r="N43">
        <v>0.106440954439223</v>
      </c>
      <c r="O43">
        <v>0.127729145327067</v>
      </c>
      <c r="P43">
        <v>0.106440954439223</v>
      </c>
      <c r="Q43">
        <v>9.73174440587182E-2</v>
      </c>
      <c r="R43">
        <v>9.1235103805048304E-2</v>
      </c>
      <c r="S43">
        <v>9.1235103805048304E-2</v>
      </c>
    </row>
    <row r="44" spans="1:19" x14ac:dyDescent="0.25">
      <c r="A44" t="s">
        <v>5</v>
      </c>
      <c r="B44" t="s">
        <v>88</v>
      </c>
      <c r="C44" t="s">
        <v>89</v>
      </c>
      <c r="D44" t="s">
        <v>3</v>
      </c>
      <c r="E44" t="s">
        <v>158</v>
      </c>
      <c r="F44" t="s">
        <v>159</v>
      </c>
      <c r="G44" t="s">
        <v>139</v>
      </c>
      <c r="H44" t="s">
        <v>92</v>
      </c>
      <c r="J44">
        <v>50.317605</v>
      </c>
      <c r="K44">
        <v>8.0657010000000007</v>
      </c>
      <c r="L44" t="s">
        <v>4</v>
      </c>
      <c r="M44">
        <v>0.14754278330404799</v>
      </c>
      <c r="N44">
        <v>0.11475549812537</v>
      </c>
      <c r="O44">
        <v>0.137706597750445</v>
      </c>
      <c r="P44">
        <v>0.11475549812537</v>
      </c>
      <c r="Q44">
        <v>0.104919312571767</v>
      </c>
      <c r="R44">
        <v>9.8361855536032106E-2</v>
      </c>
      <c r="S44">
        <v>9.8361855536032106E-2</v>
      </c>
    </row>
    <row r="45" spans="1:19" x14ac:dyDescent="0.25">
      <c r="A45" t="s">
        <v>5</v>
      </c>
      <c r="B45" t="s">
        <v>88</v>
      </c>
      <c r="C45" t="s">
        <v>89</v>
      </c>
      <c r="D45" t="s">
        <v>3</v>
      </c>
      <c r="E45" t="s">
        <v>111</v>
      </c>
      <c r="F45" t="s">
        <v>112</v>
      </c>
      <c r="G45" t="s">
        <v>139</v>
      </c>
      <c r="H45" t="s">
        <v>92</v>
      </c>
      <c r="J45">
        <v>51.436858999999998</v>
      </c>
      <c r="K45">
        <v>8.3738720000000004</v>
      </c>
      <c r="L45" t="s">
        <v>4</v>
      </c>
      <c r="M45">
        <v>6.9950277932223498E-2</v>
      </c>
      <c r="N45">
        <v>5.4405771725062703E-2</v>
      </c>
      <c r="O45">
        <v>6.5286926070075302E-2</v>
      </c>
      <c r="P45">
        <v>5.4405771725062703E-2</v>
      </c>
      <c r="Q45">
        <v>4.97424198629145E-2</v>
      </c>
      <c r="R45">
        <v>4.6633518621482302E-2</v>
      </c>
      <c r="S45">
        <v>4.6633518621482302E-2</v>
      </c>
    </row>
    <row r="46" spans="1:19" x14ac:dyDescent="0.25">
      <c r="A46" t="s">
        <v>5</v>
      </c>
      <c r="B46" t="s">
        <v>88</v>
      </c>
      <c r="C46" t="s">
        <v>89</v>
      </c>
      <c r="D46" t="s">
        <v>3</v>
      </c>
      <c r="E46" t="s">
        <v>160</v>
      </c>
      <c r="F46" t="s">
        <v>161</v>
      </c>
      <c r="G46" t="s">
        <v>139</v>
      </c>
      <c r="H46" t="s">
        <v>92</v>
      </c>
      <c r="J46">
        <v>49.029909000000004</v>
      </c>
      <c r="K46">
        <v>12.1388</v>
      </c>
      <c r="L46" t="s">
        <v>4</v>
      </c>
      <c r="M46">
        <v>7.8780244767505295E-2</v>
      </c>
      <c r="N46">
        <v>6.1273523708059698E-2</v>
      </c>
      <c r="O46">
        <v>7.3528228449671607E-2</v>
      </c>
      <c r="P46">
        <v>6.1273523708059698E-2</v>
      </c>
      <c r="Q46">
        <v>5.6021507390226002E-2</v>
      </c>
      <c r="R46">
        <v>5.2520163178336798E-2</v>
      </c>
      <c r="S46">
        <v>5.2520163178336798E-2</v>
      </c>
    </row>
    <row r="47" spans="1:19" x14ac:dyDescent="0.25">
      <c r="A47" t="s">
        <v>5</v>
      </c>
      <c r="B47" t="s">
        <v>88</v>
      </c>
      <c r="C47" t="s">
        <v>89</v>
      </c>
      <c r="D47" t="s">
        <v>3</v>
      </c>
      <c r="E47" t="s">
        <v>117</v>
      </c>
      <c r="F47" t="s">
        <v>118</v>
      </c>
      <c r="G47" t="s">
        <v>139</v>
      </c>
      <c r="H47" t="s">
        <v>92</v>
      </c>
      <c r="J47">
        <v>50.334173999999997</v>
      </c>
      <c r="K47">
        <v>6.7668109999999997</v>
      </c>
      <c r="L47" t="s">
        <v>4</v>
      </c>
      <c r="M47">
        <v>2.57039104077483E-2</v>
      </c>
      <c r="N47">
        <v>1.9991930317137599E-2</v>
      </c>
      <c r="O47">
        <v>2.3990316380565101E-2</v>
      </c>
      <c r="P47">
        <v>1.9991930317137599E-2</v>
      </c>
      <c r="Q47">
        <v>1.8278336289954299E-2</v>
      </c>
      <c r="R47">
        <v>1.7135940271832201E-2</v>
      </c>
      <c r="S47">
        <v>1.7135940271832201E-2</v>
      </c>
    </row>
    <row r="48" spans="1:19" x14ac:dyDescent="0.25">
      <c r="A48" t="s">
        <v>5</v>
      </c>
      <c r="B48" t="s">
        <v>88</v>
      </c>
      <c r="C48" t="s">
        <v>89</v>
      </c>
      <c r="D48" t="s">
        <v>3</v>
      </c>
      <c r="E48" t="s">
        <v>162</v>
      </c>
      <c r="F48" t="s">
        <v>163</v>
      </c>
      <c r="G48" t="s">
        <v>139</v>
      </c>
      <c r="H48" t="s">
        <v>92</v>
      </c>
      <c r="J48">
        <v>52.040866999999999</v>
      </c>
      <c r="K48">
        <v>8.3994090000000003</v>
      </c>
      <c r="L48" t="s">
        <v>4</v>
      </c>
      <c r="M48">
        <v>4.4982671308500402E-3</v>
      </c>
      <c r="N48">
        <v>3.4986522128833599E-3</v>
      </c>
      <c r="O48">
        <v>4.19838265546004E-3</v>
      </c>
      <c r="P48">
        <v>3.4986522128833599E-3</v>
      </c>
      <c r="Q48">
        <v>3.1987677374933601E-3</v>
      </c>
      <c r="R48">
        <v>2.9988447539000202E-3</v>
      </c>
      <c r="S48">
        <v>2.9988447539000202E-3</v>
      </c>
    </row>
    <row r="49" spans="1:19" x14ac:dyDescent="0.25">
      <c r="A49" t="s">
        <v>5</v>
      </c>
      <c r="B49" t="s">
        <v>88</v>
      </c>
      <c r="C49" t="s">
        <v>89</v>
      </c>
      <c r="D49" t="s">
        <v>3</v>
      </c>
      <c r="E49" t="s">
        <v>117</v>
      </c>
      <c r="F49" t="s">
        <v>118</v>
      </c>
      <c r="G49" t="s">
        <v>139</v>
      </c>
      <c r="H49" t="s">
        <v>92</v>
      </c>
      <c r="J49">
        <v>50.230564000000001</v>
      </c>
      <c r="K49">
        <v>6.6829239999999999</v>
      </c>
      <c r="L49" t="s">
        <v>4</v>
      </c>
      <c r="M49">
        <v>1.2965760505601401E-4</v>
      </c>
      <c r="N49">
        <v>1.0084480393245601E-4</v>
      </c>
      <c r="O49">
        <v>1.2101376471894699E-4</v>
      </c>
      <c r="P49">
        <v>1.0084480393245601E-4</v>
      </c>
      <c r="Q49">
        <v>9.2200963595388396E-5</v>
      </c>
      <c r="R49">
        <v>8.6438403370676597E-5</v>
      </c>
      <c r="S49">
        <v>8.6438403370676597E-5</v>
      </c>
    </row>
    <row r="50" spans="1:19" x14ac:dyDescent="0.25">
      <c r="A50" t="s">
        <v>5</v>
      </c>
      <c r="B50" t="s">
        <v>88</v>
      </c>
      <c r="C50" t="s">
        <v>89</v>
      </c>
      <c r="D50" t="s">
        <v>3</v>
      </c>
      <c r="E50" t="s">
        <v>164</v>
      </c>
      <c r="F50" t="s">
        <v>165</v>
      </c>
      <c r="G50" t="s">
        <v>139</v>
      </c>
      <c r="H50" t="s">
        <v>92</v>
      </c>
      <c r="J50">
        <v>51.296801000000002</v>
      </c>
      <c r="K50">
        <v>7.0149359999999996</v>
      </c>
      <c r="L50" t="s">
        <v>4</v>
      </c>
      <c r="M50">
        <v>0.91869605885868399</v>
      </c>
      <c r="N50">
        <v>0.71454137911230997</v>
      </c>
      <c r="O50">
        <v>0.85744965493477199</v>
      </c>
      <c r="P50">
        <v>0.71454137911230997</v>
      </c>
      <c r="Q50">
        <v>0.65329497518839696</v>
      </c>
      <c r="R50">
        <v>0.61246403923912196</v>
      </c>
      <c r="S50">
        <v>0.61246403923912196</v>
      </c>
    </row>
    <row r="51" spans="1:19" x14ac:dyDescent="0.25">
      <c r="A51" t="s">
        <v>5</v>
      </c>
      <c r="B51" t="s">
        <v>88</v>
      </c>
      <c r="C51" t="s">
        <v>89</v>
      </c>
      <c r="D51" t="s">
        <v>3</v>
      </c>
      <c r="E51" t="s">
        <v>166</v>
      </c>
      <c r="F51" t="s">
        <v>167</v>
      </c>
      <c r="G51" t="s">
        <v>139</v>
      </c>
      <c r="H51" t="s">
        <v>92</v>
      </c>
      <c r="J51">
        <v>51.394948999999997</v>
      </c>
      <c r="K51">
        <v>8.6849950000000007</v>
      </c>
      <c r="L51" t="s">
        <v>4</v>
      </c>
      <c r="M51">
        <v>3.2763151829151002E-2</v>
      </c>
      <c r="N51">
        <v>2.5482451422673E-2</v>
      </c>
      <c r="O51">
        <v>3.05789417072076E-2</v>
      </c>
      <c r="P51">
        <v>2.5482451422673E-2</v>
      </c>
      <c r="Q51">
        <v>2.3298241300729602E-2</v>
      </c>
      <c r="R51">
        <v>2.1842101219434001E-2</v>
      </c>
      <c r="S51">
        <v>2.1842101219434001E-2</v>
      </c>
    </row>
    <row r="52" spans="1:19" x14ac:dyDescent="0.25">
      <c r="A52" t="s">
        <v>5</v>
      </c>
      <c r="B52" t="s">
        <v>88</v>
      </c>
      <c r="C52" t="s">
        <v>89</v>
      </c>
      <c r="D52" t="s">
        <v>3</v>
      </c>
      <c r="E52" t="s">
        <v>168</v>
      </c>
      <c r="F52" t="s">
        <v>169</v>
      </c>
      <c r="G52" t="s">
        <v>139</v>
      </c>
      <c r="H52" t="s">
        <v>92</v>
      </c>
      <c r="J52">
        <v>51.397084999999997</v>
      </c>
      <c r="K52">
        <v>7.8406979999999997</v>
      </c>
      <c r="L52" t="s">
        <v>4</v>
      </c>
      <c r="M52">
        <v>0.39661314992582303</v>
      </c>
      <c r="N52">
        <v>0.30847689438675102</v>
      </c>
      <c r="O52">
        <v>0.37017227326410101</v>
      </c>
      <c r="P52">
        <v>0.30847689438675102</v>
      </c>
      <c r="Q52">
        <v>0.28203601772503001</v>
      </c>
      <c r="R52">
        <v>0.26440876661721502</v>
      </c>
      <c r="S52">
        <v>0.26440876661721502</v>
      </c>
    </row>
    <row r="53" spans="1:19" x14ac:dyDescent="0.25">
      <c r="A53" t="s">
        <v>5</v>
      </c>
      <c r="B53" t="s">
        <v>88</v>
      </c>
      <c r="C53" t="s">
        <v>89</v>
      </c>
      <c r="D53" t="s">
        <v>3</v>
      </c>
      <c r="E53" t="s">
        <v>170</v>
      </c>
      <c r="F53" t="s">
        <v>171</v>
      </c>
      <c r="G53" t="s">
        <v>139</v>
      </c>
      <c r="H53" t="s">
        <v>92</v>
      </c>
      <c r="J53">
        <v>52.059196999999998</v>
      </c>
      <c r="K53">
        <v>9.5886659999999999</v>
      </c>
      <c r="L53" t="s">
        <v>4</v>
      </c>
      <c r="M53">
        <v>4.9156321227303698E-3</v>
      </c>
      <c r="N53">
        <v>3.82326942879028E-3</v>
      </c>
      <c r="O53">
        <v>4.5879233145483403E-3</v>
      </c>
      <c r="P53">
        <v>3.82326942879028E-3</v>
      </c>
      <c r="Q53">
        <v>3.4955606206082601E-3</v>
      </c>
      <c r="R53">
        <v>3.2770880818202399E-3</v>
      </c>
      <c r="S53">
        <v>3.2770880818202399E-3</v>
      </c>
    </row>
    <row r="54" spans="1:19" x14ac:dyDescent="0.25">
      <c r="A54" t="s">
        <v>5</v>
      </c>
      <c r="B54" t="s">
        <v>88</v>
      </c>
      <c r="C54" t="s">
        <v>89</v>
      </c>
      <c r="D54" t="s">
        <v>3</v>
      </c>
      <c r="E54" t="s">
        <v>107</v>
      </c>
      <c r="F54" t="s">
        <v>108</v>
      </c>
      <c r="G54" t="s">
        <v>139</v>
      </c>
      <c r="H54" t="s">
        <v>92</v>
      </c>
      <c r="J54">
        <v>52.264046999999998</v>
      </c>
      <c r="K54">
        <v>7.3968769999999999</v>
      </c>
      <c r="L54" t="s">
        <v>4</v>
      </c>
      <c r="M54">
        <v>1.1933704899159001E-2</v>
      </c>
      <c r="N54">
        <v>9.2817704771236808E-3</v>
      </c>
      <c r="O54">
        <v>1.11381245725484E-2</v>
      </c>
      <c r="P54">
        <v>9.2817704771236808E-3</v>
      </c>
      <c r="Q54">
        <v>8.4861901505130805E-3</v>
      </c>
      <c r="R54">
        <v>7.9558032661060096E-3</v>
      </c>
      <c r="S54">
        <v>7.9558032661060096E-3</v>
      </c>
    </row>
    <row r="55" spans="1:19" x14ac:dyDescent="0.25">
      <c r="A55" t="s">
        <v>5</v>
      </c>
      <c r="B55" t="s">
        <v>88</v>
      </c>
      <c r="C55" t="s">
        <v>89</v>
      </c>
      <c r="D55" t="s">
        <v>3</v>
      </c>
      <c r="E55" t="s">
        <v>129</v>
      </c>
      <c r="F55" t="s">
        <v>130</v>
      </c>
      <c r="G55" t="s">
        <v>139</v>
      </c>
      <c r="H55" t="s">
        <v>92</v>
      </c>
      <c r="J55">
        <v>48.775784999999999</v>
      </c>
      <c r="K55">
        <v>10.699441999999999</v>
      </c>
      <c r="L55" t="s">
        <v>4</v>
      </c>
      <c r="M55">
        <v>7.9413390302398995E-2</v>
      </c>
      <c r="N55">
        <v>6.1765970235199197E-2</v>
      </c>
      <c r="O55">
        <v>7.4119164282238997E-2</v>
      </c>
      <c r="P55">
        <v>6.1765970235199197E-2</v>
      </c>
      <c r="Q55">
        <v>5.6471744215039199E-2</v>
      </c>
      <c r="R55">
        <v>5.2942260201599298E-2</v>
      </c>
      <c r="S55">
        <v>5.2942260201599298E-2</v>
      </c>
    </row>
    <row r="56" spans="1:19" x14ac:dyDescent="0.25">
      <c r="A56" t="s">
        <v>5</v>
      </c>
      <c r="B56" t="s">
        <v>88</v>
      </c>
      <c r="C56" t="s">
        <v>89</v>
      </c>
      <c r="D56" t="s">
        <v>3</v>
      </c>
      <c r="E56" t="s">
        <v>107</v>
      </c>
      <c r="F56" t="s">
        <v>108</v>
      </c>
      <c r="G56" t="s">
        <v>139</v>
      </c>
      <c r="H56" t="s">
        <v>92</v>
      </c>
      <c r="J56">
        <v>52.162646000000002</v>
      </c>
      <c r="K56">
        <v>7.968648</v>
      </c>
      <c r="L56" t="s">
        <v>4</v>
      </c>
      <c r="M56">
        <v>7.2120859820324998E-2</v>
      </c>
      <c r="N56">
        <v>5.6094002082475003E-2</v>
      </c>
      <c r="O56">
        <v>6.7312802498969995E-2</v>
      </c>
      <c r="P56">
        <v>5.6094002082475003E-2</v>
      </c>
      <c r="Q56">
        <v>5.128594476112E-2</v>
      </c>
      <c r="R56">
        <v>4.8080573213549999E-2</v>
      </c>
      <c r="S56">
        <v>4.8080573213549999E-2</v>
      </c>
    </row>
    <row r="57" spans="1:19" x14ac:dyDescent="0.25">
      <c r="A57" t="s">
        <v>5</v>
      </c>
      <c r="B57" t="s">
        <v>88</v>
      </c>
      <c r="C57" t="s">
        <v>89</v>
      </c>
      <c r="D57" t="s">
        <v>3</v>
      </c>
      <c r="E57" t="s">
        <v>172</v>
      </c>
      <c r="F57" t="s">
        <v>173</v>
      </c>
      <c r="G57" t="s">
        <v>139</v>
      </c>
      <c r="H57" t="s">
        <v>92</v>
      </c>
      <c r="J57">
        <v>50.027914000000003</v>
      </c>
      <c r="K57">
        <v>11.308923</v>
      </c>
      <c r="L57" t="s">
        <v>4</v>
      </c>
      <c r="M57">
        <v>1.6581030955496699E-3</v>
      </c>
      <c r="N57">
        <v>1.2896357409830799E-3</v>
      </c>
      <c r="O57">
        <v>1.5475628891797001E-3</v>
      </c>
      <c r="P57">
        <v>1.2896357409830799E-3</v>
      </c>
      <c r="Q57">
        <v>1.1790955346130999E-3</v>
      </c>
      <c r="R57">
        <v>1.1054020636997799E-3</v>
      </c>
      <c r="S57">
        <v>1.1054020636997799E-3</v>
      </c>
    </row>
    <row r="58" spans="1:19" x14ac:dyDescent="0.25">
      <c r="A58" t="s">
        <v>5</v>
      </c>
      <c r="B58" t="s">
        <v>88</v>
      </c>
      <c r="C58" t="s">
        <v>89</v>
      </c>
      <c r="D58" t="s">
        <v>3</v>
      </c>
      <c r="E58" t="s">
        <v>174</v>
      </c>
      <c r="F58" t="s">
        <v>175</v>
      </c>
      <c r="G58" t="s">
        <v>139</v>
      </c>
      <c r="H58" t="s">
        <v>92</v>
      </c>
      <c r="J58">
        <v>52.170476999999998</v>
      </c>
      <c r="K58">
        <v>9.7933900000000005</v>
      </c>
      <c r="L58" t="s">
        <v>4</v>
      </c>
      <c r="M58">
        <v>6.3428595038559396E-2</v>
      </c>
      <c r="N58">
        <v>4.9333351696657299E-2</v>
      </c>
      <c r="O58">
        <v>5.9200022035988703E-2</v>
      </c>
      <c r="P58">
        <v>4.9333351696657299E-2</v>
      </c>
      <c r="Q58">
        <v>4.5104778694086599E-2</v>
      </c>
      <c r="R58">
        <v>4.2285730025706202E-2</v>
      </c>
      <c r="S58">
        <v>4.2285730025706202E-2</v>
      </c>
    </row>
    <row r="59" spans="1:19" x14ac:dyDescent="0.25">
      <c r="A59" t="s">
        <v>5</v>
      </c>
      <c r="B59" t="s">
        <v>88</v>
      </c>
      <c r="C59" t="s">
        <v>89</v>
      </c>
      <c r="D59" t="s">
        <v>3</v>
      </c>
      <c r="E59" t="s">
        <v>176</v>
      </c>
      <c r="F59" t="s">
        <v>177</v>
      </c>
      <c r="G59" t="s">
        <v>139</v>
      </c>
      <c r="H59" t="s">
        <v>92</v>
      </c>
      <c r="J59">
        <v>52.023237000000002</v>
      </c>
      <c r="K59">
        <v>10.545916999999999</v>
      </c>
      <c r="L59" t="s">
        <v>4</v>
      </c>
      <c r="M59">
        <v>3.1327927319827698E-2</v>
      </c>
      <c r="N59">
        <v>2.4366165693199299E-2</v>
      </c>
      <c r="O59">
        <v>2.9239398831839201E-2</v>
      </c>
      <c r="P59">
        <v>2.4366165693199299E-2</v>
      </c>
      <c r="Q59">
        <v>2.2277637205210799E-2</v>
      </c>
      <c r="R59">
        <v>2.0885284879885099E-2</v>
      </c>
      <c r="S59">
        <v>2.0885284879885099E-2</v>
      </c>
    </row>
    <row r="60" spans="1:19" x14ac:dyDescent="0.25">
      <c r="A60" t="s">
        <v>5</v>
      </c>
      <c r="B60" t="s">
        <v>88</v>
      </c>
      <c r="C60" t="s">
        <v>89</v>
      </c>
      <c r="D60" t="s">
        <v>3</v>
      </c>
      <c r="E60" t="s">
        <v>178</v>
      </c>
      <c r="F60" t="s">
        <v>179</v>
      </c>
      <c r="G60" t="s">
        <v>139</v>
      </c>
      <c r="H60" t="s">
        <v>92</v>
      </c>
      <c r="J60">
        <v>52.071129999999997</v>
      </c>
      <c r="K60">
        <v>11.385047999999999</v>
      </c>
      <c r="L60" t="s">
        <v>4</v>
      </c>
      <c r="M60">
        <v>5.1052445400752801E-2</v>
      </c>
      <c r="N60">
        <v>3.9707457533918897E-2</v>
      </c>
      <c r="O60">
        <v>4.7648949040702597E-2</v>
      </c>
      <c r="P60">
        <v>3.9707457533918897E-2</v>
      </c>
      <c r="Q60">
        <v>3.63039611738687E-2</v>
      </c>
      <c r="R60">
        <v>3.40349636005019E-2</v>
      </c>
      <c r="S60">
        <v>3.40349636005019E-2</v>
      </c>
    </row>
    <row r="61" spans="1:19" x14ac:dyDescent="0.25">
      <c r="A61" t="s">
        <v>5</v>
      </c>
      <c r="B61" t="s">
        <v>88</v>
      </c>
      <c r="C61" t="s">
        <v>89</v>
      </c>
      <c r="D61" t="s">
        <v>3</v>
      </c>
      <c r="E61" t="s">
        <v>180</v>
      </c>
      <c r="F61" t="s">
        <v>181</v>
      </c>
      <c r="G61" t="s">
        <v>139</v>
      </c>
      <c r="H61" t="s">
        <v>92</v>
      </c>
      <c r="J61">
        <v>52.977111999999998</v>
      </c>
      <c r="K61">
        <v>10.558517999999999</v>
      </c>
      <c r="L61" t="s">
        <v>4</v>
      </c>
      <c r="M61">
        <v>7.6179048208917896E-2</v>
      </c>
      <c r="N61">
        <v>5.9250370829158301E-2</v>
      </c>
      <c r="O61">
        <v>7.1100444994990006E-2</v>
      </c>
      <c r="P61">
        <v>5.9250370829158301E-2</v>
      </c>
      <c r="Q61">
        <v>5.4171767615230501E-2</v>
      </c>
      <c r="R61">
        <v>5.0786032139278597E-2</v>
      </c>
      <c r="S61">
        <v>5.0786032139278597E-2</v>
      </c>
    </row>
    <row r="62" spans="1:19" x14ac:dyDescent="0.25">
      <c r="A62" t="s">
        <v>5</v>
      </c>
      <c r="B62" t="s">
        <v>88</v>
      </c>
      <c r="C62" t="s">
        <v>89</v>
      </c>
      <c r="D62" t="s">
        <v>3</v>
      </c>
      <c r="E62" t="s">
        <v>182</v>
      </c>
      <c r="F62" t="s">
        <v>183</v>
      </c>
      <c r="G62" t="s">
        <v>139</v>
      </c>
      <c r="H62" t="s">
        <v>92</v>
      </c>
      <c r="J62">
        <v>52.233195000000002</v>
      </c>
      <c r="K62">
        <v>10.034605000000001</v>
      </c>
      <c r="L62" t="s">
        <v>4</v>
      </c>
      <c r="M62">
        <v>2.7071466890438801E-2</v>
      </c>
      <c r="N62">
        <v>2.1055585359230199E-2</v>
      </c>
      <c r="O62">
        <v>2.5266702431076201E-2</v>
      </c>
      <c r="P62">
        <v>2.1055585359230199E-2</v>
      </c>
      <c r="Q62">
        <v>1.9250820899867599E-2</v>
      </c>
      <c r="R62">
        <v>1.80476445936259E-2</v>
      </c>
      <c r="S62">
        <v>1.80476445936259E-2</v>
      </c>
    </row>
    <row r="63" spans="1:19" x14ac:dyDescent="0.25">
      <c r="A63" t="s">
        <v>5</v>
      </c>
      <c r="B63" t="s">
        <v>88</v>
      </c>
      <c r="C63" t="s">
        <v>89</v>
      </c>
      <c r="D63" t="s">
        <v>3</v>
      </c>
      <c r="E63" t="s">
        <v>184</v>
      </c>
      <c r="F63" t="s">
        <v>185</v>
      </c>
      <c r="G63" t="s">
        <v>139</v>
      </c>
      <c r="H63" t="s">
        <v>92</v>
      </c>
      <c r="J63">
        <v>51.205803000000003</v>
      </c>
      <c r="K63">
        <v>9.9074449999999992</v>
      </c>
      <c r="L63" t="s">
        <v>4</v>
      </c>
      <c r="M63">
        <v>2.3620397866711398E-2</v>
      </c>
      <c r="N63">
        <v>1.83714205629977E-2</v>
      </c>
      <c r="O63">
        <v>2.20457046755973E-2</v>
      </c>
      <c r="P63">
        <v>1.83714205629977E-2</v>
      </c>
      <c r="Q63">
        <v>1.6796727371883601E-2</v>
      </c>
      <c r="R63">
        <v>1.5746931911140901E-2</v>
      </c>
      <c r="S63">
        <v>1.5746931911140901E-2</v>
      </c>
    </row>
    <row r="64" spans="1:19" x14ac:dyDescent="0.25">
      <c r="A64" t="s">
        <v>5</v>
      </c>
      <c r="B64" t="s">
        <v>88</v>
      </c>
      <c r="C64" t="s">
        <v>89</v>
      </c>
      <c r="D64" t="s">
        <v>3</v>
      </c>
      <c r="E64" t="s">
        <v>97</v>
      </c>
      <c r="F64" t="s">
        <v>98</v>
      </c>
      <c r="G64" t="s">
        <v>139</v>
      </c>
      <c r="H64" t="s">
        <v>92</v>
      </c>
      <c r="J64">
        <v>48.423419000000003</v>
      </c>
      <c r="K64">
        <v>9.9041779999999999</v>
      </c>
      <c r="L64" t="s">
        <v>4</v>
      </c>
      <c r="M64">
        <v>7.0400293936008301E-2</v>
      </c>
      <c r="N64">
        <v>5.4755784172450903E-2</v>
      </c>
      <c r="O64">
        <v>6.5706941006941105E-2</v>
      </c>
      <c r="P64">
        <v>5.4755784172450903E-2</v>
      </c>
      <c r="Q64">
        <v>5.00624312433837E-2</v>
      </c>
      <c r="R64">
        <v>4.6933529290672203E-2</v>
      </c>
      <c r="S64">
        <v>4.6933529290672203E-2</v>
      </c>
    </row>
    <row r="65" spans="1:19" x14ac:dyDescent="0.25">
      <c r="A65" t="s">
        <v>5</v>
      </c>
      <c r="B65" t="s">
        <v>88</v>
      </c>
      <c r="C65" t="s">
        <v>89</v>
      </c>
      <c r="D65" t="s">
        <v>3</v>
      </c>
      <c r="E65" t="s">
        <v>186</v>
      </c>
      <c r="F65" t="s">
        <v>187</v>
      </c>
      <c r="G65" t="s">
        <v>139</v>
      </c>
      <c r="H65" t="s">
        <v>92</v>
      </c>
      <c r="J65">
        <v>49.364916000000001</v>
      </c>
      <c r="K65">
        <v>11.604835</v>
      </c>
      <c r="L65" t="s">
        <v>4</v>
      </c>
      <c r="M65">
        <v>2.4093127596425401E-2</v>
      </c>
      <c r="N65">
        <v>1.8739099241664201E-2</v>
      </c>
      <c r="O65">
        <v>2.2486919089997E-2</v>
      </c>
      <c r="P65">
        <v>1.8739099241664201E-2</v>
      </c>
      <c r="Q65">
        <v>1.7132890735235801E-2</v>
      </c>
      <c r="R65">
        <v>1.60620850642836E-2</v>
      </c>
      <c r="S65">
        <v>1.60620850642836E-2</v>
      </c>
    </row>
    <row r="66" spans="1:19" x14ac:dyDescent="0.25">
      <c r="A66" t="s">
        <v>5</v>
      </c>
      <c r="B66" t="s">
        <v>88</v>
      </c>
      <c r="C66" t="s">
        <v>89</v>
      </c>
      <c r="D66" t="s">
        <v>3</v>
      </c>
      <c r="E66" t="s">
        <v>188</v>
      </c>
      <c r="F66" t="s">
        <v>189</v>
      </c>
      <c r="G66" t="s">
        <v>139</v>
      </c>
      <c r="H66" t="s">
        <v>92</v>
      </c>
      <c r="J66">
        <v>50.915255000000002</v>
      </c>
      <c r="K66">
        <v>6.3715789999999997</v>
      </c>
      <c r="L66" t="s">
        <v>4</v>
      </c>
      <c r="M66">
        <v>8.5499726486474803E-2</v>
      </c>
      <c r="N66">
        <v>6.6499787267258206E-2</v>
      </c>
      <c r="O66">
        <v>7.9799744720709803E-2</v>
      </c>
      <c r="P66">
        <v>6.6499787267258206E-2</v>
      </c>
      <c r="Q66">
        <v>6.07998055014932E-2</v>
      </c>
      <c r="R66">
        <v>5.6999817657649797E-2</v>
      </c>
      <c r="S66">
        <v>5.6999817657649797E-2</v>
      </c>
    </row>
    <row r="67" spans="1:19" x14ac:dyDescent="0.25">
      <c r="A67" t="s">
        <v>5</v>
      </c>
      <c r="B67" t="s">
        <v>88</v>
      </c>
      <c r="C67" t="s">
        <v>89</v>
      </c>
      <c r="D67" t="s">
        <v>3</v>
      </c>
      <c r="E67" t="s">
        <v>190</v>
      </c>
      <c r="F67" t="s">
        <v>191</v>
      </c>
      <c r="G67" t="s">
        <v>139</v>
      </c>
      <c r="H67" t="s">
        <v>92</v>
      </c>
      <c r="J67">
        <v>50.657406000000002</v>
      </c>
      <c r="K67">
        <v>6.8105380000000002</v>
      </c>
      <c r="L67" t="s">
        <v>4</v>
      </c>
      <c r="M67">
        <v>4.1957484929023597E-2</v>
      </c>
      <c r="N67">
        <v>3.2633599389240597E-2</v>
      </c>
      <c r="O67">
        <v>3.9160319267088697E-2</v>
      </c>
      <c r="P67">
        <v>3.2633599389240597E-2</v>
      </c>
      <c r="Q67">
        <v>2.9836433727305701E-2</v>
      </c>
      <c r="R67">
        <v>2.7971656619349E-2</v>
      </c>
      <c r="S67">
        <v>2.7971656619349E-2</v>
      </c>
    </row>
    <row r="68" spans="1:19" x14ac:dyDescent="0.25">
      <c r="A68" t="s">
        <v>5</v>
      </c>
      <c r="B68" t="s">
        <v>88</v>
      </c>
      <c r="C68" t="s">
        <v>89</v>
      </c>
      <c r="D68" t="s">
        <v>3</v>
      </c>
      <c r="E68" t="s">
        <v>192</v>
      </c>
      <c r="F68" t="s">
        <v>193</v>
      </c>
      <c r="G68" t="s">
        <v>139</v>
      </c>
      <c r="H68" t="s">
        <v>92</v>
      </c>
      <c r="J68">
        <v>51.985916000000003</v>
      </c>
      <c r="K68">
        <v>8.8075480000000006</v>
      </c>
      <c r="L68" t="s">
        <v>4</v>
      </c>
      <c r="M68">
        <v>2.16253742806095E-2</v>
      </c>
      <c r="N68">
        <v>1.68197355515852E-2</v>
      </c>
      <c r="O68">
        <v>2.0183682661902201E-2</v>
      </c>
      <c r="P68">
        <v>1.68197355515852E-2</v>
      </c>
      <c r="Q68">
        <v>1.5378043932877899E-2</v>
      </c>
      <c r="R68">
        <v>1.4416916187073E-2</v>
      </c>
      <c r="S68">
        <v>1.4416916187073E-2</v>
      </c>
    </row>
    <row r="69" spans="1:19" x14ac:dyDescent="0.25">
      <c r="A69" t="s">
        <v>5</v>
      </c>
      <c r="B69" t="s">
        <v>88</v>
      </c>
      <c r="C69" t="s">
        <v>89</v>
      </c>
      <c r="D69" t="s">
        <v>3</v>
      </c>
      <c r="E69" t="s">
        <v>194</v>
      </c>
      <c r="F69" t="s">
        <v>195</v>
      </c>
      <c r="G69" t="s">
        <v>139</v>
      </c>
      <c r="H69" t="s">
        <v>92</v>
      </c>
      <c r="J69">
        <v>51.729120999999999</v>
      </c>
      <c r="K69">
        <v>6.3590609999999996</v>
      </c>
      <c r="L69" t="s">
        <v>4</v>
      </c>
      <c r="M69">
        <v>2.1348077350215999E-2</v>
      </c>
      <c r="N69">
        <v>1.6604060161279102E-2</v>
      </c>
      <c r="O69">
        <v>1.9924872193535E-2</v>
      </c>
      <c r="P69">
        <v>1.6604060161279102E-2</v>
      </c>
      <c r="Q69">
        <v>1.51808550045981E-2</v>
      </c>
      <c r="R69">
        <v>1.42320515668107E-2</v>
      </c>
      <c r="S69">
        <v>1.42320515668107E-2</v>
      </c>
    </row>
    <row r="70" spans="1:19" x14ac:dyDescent="0.25">
      <c r="A70" t="s">
        <v>5</v>
      </c>
      <c r="B70" t="s">
        <v>88</v>
      </c>
      <c r="C70" t="s">
        <v>89</v>
      </c>
      <c r="D70" t="s">
        <v>3</v>
      </c>
      <c r="E70" t="s">
        <v>133</v>
      </c>
      <c r="F70" t="s">
        <v>134</v>
      </c>
      <c r="G70" t="s">
        <v>139</v>
      </c>
      <c r="H70" t="s">
        <v>92</v>
      </c>
      <c r="J70">
        <v>51.698058000000003</v>
      </c>
      <c r="K70">
        <v>11.757585000000001</v>
      </c>
      <c r="L70" t="s">
        <v>4</v>
      </c>
      <c r="M70">
        <v>5.2051849997864302E-2</v>
      </c>
      <c r="N70">
        <v>4.0484772220561099E-2</v>
      </c>
      <c r="O70">
        <v>4.8581726664673301E-2</v>
      </c>
      <c r="P70">
        <v>4.0484772220561099E-2</v>
      </c>
      <c r="Q70">
        <v>3.7014648887370098E-2</v>
      </c>
      <c r="R70">
        <v>3.4701233331909498E-2</v>
      </c>
      <c r="S70">
        <v>3.4701233331909498E-2</v>
      </c>
    </row>
    <row r="71" spans="1:19" x14ac:dyDescent="0.25">
      <c r="A71" t="s">
        <v>5</v>
      </c>
      <c r="B71" t="s">
        <v>88</v>
      </c>
      <c r="C71" t="s">
        <v>89</v>
      </c>
      <c r="D71" t="s">
        <v>3</v>
      </c>
      <c r="E71" t="s">
        <v>111</v>
      </c>
      <c r="F71" t="s">
        <v>112</v>
      </c>
      <c r="G71" t="s">
        <v>139</v>
      </c>
      <c r="H71" t="s">
        <v>92</v>
      </c>
      <c r="J71">
        <v>51.597330999999997</v>
      </c>
      <c r="K71">
        <v>8.3411760000000008</v>
      </c>
      <c r="L71" t="s">
        <v>4</v>
      </c>
      <c r="M71">
        <v>5.7637064281947398E-2</v>
      </c>
      <c r="N71">
        <v>4.4828827774848E-2</v>
      </c>
      <c r="O71">
        <v>5.3794593329817599E-2</v>
      </c>
      <c r="P71">
        <v>4.4828827774848E-2</v>
      </c>
      <c r="Q71">
        <v>4.0986356822718097E-2</v>
      </c>
      <c r="R71">
        <v>3.8424709521298298E-2</v>
      </c>
      <c r="S71">
        <v>3.8424709521298298E-2</v>
      </c>
    </row>
    <row r="72" spans="1:19" x14ac:dyDescent="0.25">
      <c r="A72" t="s">
        <v>5</v>
      </c>
      <c r="B72" t="s">
        <v>88</v>
      </c>
      <c r="C72" t="s">
        <v>89</v>
      </c>
      <c r="D72" t="s">
        <v>3</v>
      </c>
      <c r="E72" t="s">
        <v>196</v>
      </c>
      <c r="F72" t="s">
        <v>197</v>
      </c>
      <c r="G72" t="s">
        <v>139</v>
      </c>
      <c r="H72" t="s">
        <v>92</v>
      </c>
      <c r="J72">
        <v>52.169490000000003</v>
      </c>
      <c r="K72">
        <v>14.626637000000001</v>
      </c>
      <c r="L72" t="s">
        <v>4</v>
      </c>
      <c r="M72">
        <v>7.2417084855659494E-2</v>
      </c>
      <c r="N72">
        <v>5.63243993321796E-2</v>
      </c>
      <c r="O72">
        <v>6.7589279198615501E-2</v>
      </c>
      <c r="P72">
        <v>5.63243993321796E-2</v>
      </c>
      <c r="Q72">
        <v>5.14965936751356E-2</v>
      </c>
      <c r="R72">
        <v>4.8278056570439598E-2</v>
      </c>
      <c r="S72">
        <v>4.8278056570439598E-2</v>
      </c>
    </row>
    <row r="73" spans="1:19" x14ac:dyDescent="0.25">
      <c r="A73" t="s">
        <v>5</v>
      </c>
      <c r="B73" t="s">
        <v>88</v>
      </c>
      <c r="C73" t="s">
        <v>89</v>
      </c>
      <c r="D73" t="s">
        <v>3</v>
      </c>
      <c r="E73" t="s">
        <v>140</v>
      </c>
      <c r="F73" t="s">
        <v>141</v>
      </c>
      <c r="G73" t="s">
        <v>139</v>
      </c>
      <c r="H73" t="s">
        <v>92</v>
      </c>
      <c r="J73">
        <v>50.944513999999998</v>
      </c>
      <c r="K73">
        <v>11.988065000000001</v>
      </c>
      <c r="L73" t="s">
        <v>4</v>
      </c>
      <c r="M73">
        <v>3.2936344105165903E-2</v>
      </c>
      <c r="N73">
        <v>2.5617156526240099E-2</v>
      </c>
      <c r="O73">
        <v>3.07405878314881E-2</v>
      </c>
      <c r="P73">
        <v>2.5617156526240099E-2</v>
      </c>
      <c r="Q73">
        <v>2.34214002525624E-2</v>
      </c>
      <c r="R73">
        <v>2.1957562736777202E-2</v>
      </c>
      <c r="S73">
        <v>2.1957562736777202E-2</v>
      </c>
    </row>
    <row r="74" spans="1:19" x14ac:dyDescent="0.25">
      <c r="A74" t="s">
        <v>5</v>
      </c>
      <c r="B74" t="s">
        <v>88</v>
      </c>
      <c r="C74" t="s">
        <v>89</v>
      </c>
      <c r="D74" t="s">
        <v>3</v>
      </c>
      <c r="E74" t="s">
        <v>198</v>
      </c>
      <c r="F74" t="s">
        <v>199</v>
      </c>
      <c r="G74" t="s">
        <v>139</v>
      </c>
      <c r="H74" t="s">
        <v>92</v>
      </c>
      <c r="J74">
        <v>53.853903000000003</v>
      </c>
      <c r="K74">
        <v>13.708684</v>
      </c>
      <c r="L74" t="s">
        <v>4</v>
      </c>
      <c r="M74">
        <v>3.9175998055068502E-2</v>
      </c>
      <c r="N74">
        <v>3.0470220709497699E-2</v>
      </c>
      <c r="O74">
        <v>3.6564264851397202E-2</v>
      </c>
      <c r="P74">
        <v>3.0470220709497699E-2</v>
      </c>
      <c r="Q74">
        <v>2.78584875058265E-2</v>
      </c>
      <c r="R74">
        <v>2.61173320367123E-2</v>
      </c>
      <c r="S74">
        <v>2.61173320367123E-2</v>
      </c>
    </row>
    <row r="75" spans="1:19" x14ac:dyDescent="0.25">
      <c r="A75" t="s">
        <v>5</v>
      </c>
      <c r="B75" t="s">
        <v>88</v>
      </c>
      <c r="C75" t="s">
        <v>89</v>
      </c>
      <c r="D75" t="s">
        <v>3</v>
      </c>
      <c r="E75" t="s">
        <v>200</v>
      </c>
      <c r="F75" t="s">
        <v>201</v>
      </c>
      <c r="G75" t="s">
        <v>139</v>
      </c>
      <c r="H75" t="s">
        <v>92</v>
      </c>
      <c r="J75">
        <v>51.491359000000003</v>
      </c>
      <c r="K75">
        <v>9.1656840000000006</v>
      </c>
      <c r="L75" t="s">
        <v>4</v>
      </c>
      <c r="M75">
        <v>1.6134327382943799E-2</v>
      </c>
      <c r="N75">
        <v>1.2548921297845199E-2</v>
      </c>
      <c r="O75">
        <v>1.50587055574142E-2</v>
      </c>
      <c r="P75">
        <v>1.2548921297845199E-2</v>
      </c>
      <c r="Q75">
        <v>1.1473299472315601E-2</v>
      </c>
      <c r="R75">
        <v>1.07562182552959E-2</v>
      </c>
      <c r="S75">
        <v>1.07562182552959E-2</v>
      </c>
    </row>
    <row r="76" spans="1:19" x14ac:dyDescent="0.25">
      <c r="A76" t="s">
        <v>5</v>
      </c>
      <c r="B76" t="s">
        <v>88</v>
      </c>
      <c r="C76" t="s">
        <v>89</v>
      </c>
      <c r="D76" t="s">
        <v>3</v>
      </c>
      <c r="E76" t="s">
        <v>202</v>
      </c>
      <c r="F76" t="s">
        <v>203</v>
      </c>
      <c r="G76" t="s">
        <v>139</v>
      </c>
      <c r="H76" t="s">
        <v>92</v>
      </c>
      <c r="J76">
        <v>51.102179999999997</v>
      </c>
      <c r="K76">
        <v>9.3601209999999995</v>
      </c>
      <c r="L76" t="s">
        <v>4</v>
      </c>
      <c r="M76">
        <v>1.9918058069751499E-2</v>
      </c>
      <c r="N76">
        <v>1.54918229431401E-2</v>
      </c>
      <c r="O76">
        <v>1.8590187531768099E-2</v>
      </c>
      <c r="P76">
        <v>1.54918229431401E-2</v>
      </c>
      <c r="Q76">
        <v>1.41639524051566E-2</v>
      </c>
      <c r="R76">
        <v>1.3278705379834299E-2</v>
      </c>
      <c r="S76">
        <v>1.3278705379834299E-2</v>
      </c>
    </row>
    <row r="77" spans="1:19" x14ac:dyDescent="0.25">
      <c r="A77" t="s">
        <v>5</v>
      </c>
      <c r="B77" t="s">
        <v>88</v>
      </c>
      <c r="C77" t="s">
        <v>89</v>
      </c>
      <c r="D77" t="s">
        <v>3</v>
      </c>
      <c r="E77" t="s">
        <v>204</v>
      </c>
      <c r="F77" t="s">
        <v>205</v>
      </c>
      <c r="G77" t="s">
        <v>139</v>
      </c>
      <c r="H77" t="s">
        <v>92</v>
      </c>
      <c r="J77">
        <v>49.243552000000001</v>
      </c>
      <c r="K77">
        <v>9.1805129999999995</v>
      </c>
      <c r="L77" t="s">
        <v>4</v>
      </c>
      <c r="M77">
        <v>3.6359494161238098E-2</v>
      </c>
      <c r="N77">
        <v>2.8279606569851901E-2</v>
      </c>
      <c r="O77">
        <v>3.3935527883822203E-2</v>
      </c>
      <c r="P77">
        <v>2.8279606569851901E-2</v>
      </c>
      <c r="Q77">
        <v>2.5855640292436002E-2</v>
      </c>
      <c r="R77">
        <v>2.4239662774158701E-2</v>
      </c>
      <c r="S77">
        <v>2.4239662774158701E-2</v>
      </c>
    </row>
    <row r="78" spans="1:19" x14ac:dyDescent="0.25">
      <c r="A78" t="s">
        <v>5</v>
      </c>
      <c r="B78" t="s">
        <v>88</v>
      </c>
      <c r="C78" t="s">
        <v>89</v>
      </c>
      <c r="D78" t="s">
        <v>3</v>
      </c>
      <c r="E78" t="s">
        <v>206</v>
      </c>
      <c r="F78" t="s">
        <v>207</v>
      </c>
      <c r="G78" t="s">
        <v>139</v>
      </c>
      <c r="H78" t="s">
        <v>92</v>
      </c>
      <c r="J78">
        <v>49.665720999999998</v>
      </c>
      <c r="K78">
        <v>10.080456999999999</v>
      </c>
      <c r="L78" t="s">
        <v>4</v>
      </c>
      <c r="M78">
        <v>6.8611113619811703E-2</v>
      </c>
      <c r="N78">
        <v>5.3364199482075797E-2</v>
      </c>
      <c r="O78">
        <v>6.4037039378490895E-2</v>
      </c>
      <c r="P78">
        <v>5.3364199482075797E-2</v>
      </c>
      <c r="Q78">
        <v>4.8790125240755003E-2</v>
      </c>
      <c r="R78">
        <v>4.5740742413207802E-2</v>
      </c>
      <c r="S78">
        <v>4.5740742413207802E-2</v>
      </c>
    </row>
    <row r="79" spans="1:19" x14ac:dyDescent="0.25">
      <c r="A79" t="s">
        <v>5</v>
      </c>
      <c r="B79" t="s">
        <v>88</v>
      </c>
      <c r="C79" t="s">
        <v>89</v>
      </c>
      <c r="D79" t="s">
        <v>3</v>
      </c>
      <c r="E79" t="s">
        <v>135</v>
      </c>
      <c r="F79" t="s">
        <v>136</v>
      </c>
      <c r="G79" t="s">
        <v>139</v>
      </c>
      <c r="H79" t="s">
        <v>92</v>
      </c>
      <c r="J79">
        <v>51.053932000000003</v>
      </c>
      <c r="K79">
        <v>12.110927</v>
      </c>
      <c r="L79" t="s">
        <v>4</v>
      </c>
      <c r="M79">
        <v>0.13392447591738699</v>
      </c>
      <c r="N79">
        <v>0.104163481269078</v>
      </c>
      <c r="O79">
        <v>0.12499617752289401</v>
      </c>
      <c r="P79">
        <v>0.104163481269078</v>
      </c>
      <c r="Q79">
        <v>9.5235182874586294E-2</v>
      </c>
      <c r="R79">
        <v>8.9282983944924704E-2</v>
      </c>
      <c r="S79">
        <v>8.9282983944924704E-2</v>
      </c>
    </row>
    <row r="80" spans="1:19" x14ac:dyDescent="0.25">
      <c r="A80" t="s">
        <v>5</v>
      </c>
      <c r="B80" t="s">
        <v>88</v>
      </c>
      <c r="C80" t="s">
        <v>89</v>
      </c>
      <c r="D80" t="s">
        <v>3</v>
      </c>
      <c r="E80" t="s">
        <v>208</v>
      </c>
      <c r="F80" t="s">
        <v>209</v>
      </c>
      <c r="G80" t="s">
        <v>139</v>
      </c>
      <c r="H80" t="s">
        <v>92</v>
      </c>
      <c r="J80">
        <v>51.459828999999999</v>
      </c>
      <c r="K80">
        <v>13.223212999999999</v>
      </c>
      <c r="L80" t="s">
        <v>4</v>
      </c>
      <c r="M80">
        <v>3.4265571162483598E-2</v>
      </c>
      <c r="N80">
        <v>2.66509997930428E-2</v>
      </c>
      <c r="O80">
        <v>3.1981199751651403E-2</v>
      </c>
      <c r="P80">
        <v>2.66509997930428E-2</v>
      </c>
      <c r="Q80">
        <v>2.4366628382210501E-2</v>
      </c>
      <c r="R80">
        <v>2.2843714108322401E-2</v>
      </c>
      <c r="S80">
        <v>2.2843714108322401E-2</v>
      </c>
    </row>
    <row r="81" spans="1:19" x14ac:dyDescent="0.25">
      <c r="A81" t="s">
        <v>5</v>
      </c>
      <c r="B81" t="s">
        <v>88</v>
      </c>
      <c r="C81" t="s">
        <v>89</v>
      </c>
      <c r="D81" t="s">
        <v>3</v>
      </c>
      <c r="E81" t="s">
        <v>129</v>
      </c>
      <c r="F81" t="s">
        <v>130</v>
      </c>
      <c r="G81" t="s">
        <v>139</v>
      </c>
      <c r="H81" t="s">
        <v>92</v>
      </c>
      <c r="J81">
        <v>48.69791</v>
      </c>
      <c r="K81">
        <v>10.909583</v>
      </c>
      <c r="L81" t="s">
        <v>4</v>
      </c>
      <c r="M81">
        <v>3.7691087231673498E-2</v>
      </c>
      <c r="N81">
        <v>2.9315290069079399E-2</v>
      </c>
      <c r="O81">
        <v>3.51783480828953E-2</v>
      </c>
      <c r="P81">
        <v>2.9315290069079399E-2</v>
      </c>
      <c r="Q81">
        <v>2.6802550920301101E-2</v>
      </c>
      <c r="R81">
        <v>2.51273914877823E-2</v>
      </c>
      <c r="S81">
        <v>2.51273914877823E-2</v>
      </c>
    </row>
    <row r="82" spans="1:19" x14ac:dyDescent="0.25">
      <c r="A82" t="s">
        <v>5</v>
      </c>
      <c r="B82" t="s">
        <v>88</v>
      </c>
      <c r="C82" t="s">
        <v>89</v>
      </c>
      <c r="D82" t="s">
        <v>3</v>
      </c>
      <c r="E82" t="s">
        <v>210</v>
      </c>
      <c r="F82" t="s">
        <v>211</v>
      </c>
      <c r="G82" t="s">
        <v>139</v>
      </c>
      <c r="H82" t="s">
        <v>92</v>
      </c>
      <c r="J82">
        <v>49.599576999999996</v>
      </c>
      <c r="K82">
        <v>8.2196610000000003</v>
      </c>
      <c r="L82" t="s">
        <v>4</v>
      </c>
      <c r="M82">
        <v>6.7556344277146296E-2</v>
      </c>
      <c r="N82">
        <v>5.2543823326669299E-2</v>
      </c>
      <c r="O82">
        <v>6.3052587992003195E-2</v>
      </c>
      <c r="P82">
        <v>5.2543823326669299E-2</v>
      </c>
      <c r="Q82">
        <v>4.8040067041526198E-2</v>
      </c>
      <c r="R82">
        <v>4.5037562851430901E-2</v>
      </c>
      <c r="S82">
        <v>4.5037562851430901E-2</v>
      </c>
    </row>
    <row r="83" spans="1:19" x14ac:dyDescent="0.25">
      <c r="A83" t="s">
        <v>5</v>
      </c>
      <c r="B83" t="s">
        <v>88</v>
      </c>
      <c r="C83" t="s">
        <v>89</v>
      </c>
      <c r="D83" t="s">
        <v>3</v>
      </c>
      <c r="E83" t="s">
        <v>212</v>
      </c>
      <c r="F83" t="s">
        <v>213</v>
      </c>
      <c r="G83" t="s">
        <v>139</v>
      </c>
      <c r="H83" t="s">
        <v>92</v>
      </c>
      <c r="J83">
        <v>48.786760000000001</v>
      </c>
      <c r="K83">
        <v>12.882771</v>
      </c>
      <c r="L83" t="s">
        <v>4</v>
      </c>
      <c r="M83">
        <v>5.9421039356418001E-2</v>
      </c>
      <c r="N83">
        <v>4.6216363943880699E-2</v>
      </c>
      <c r="O83">
        <v>5.5459636732656803E-2</v>
      </c>
      <c r="P83">
        <v>4.6216363943880699E-2</v>
      </c>
      <c r="Q83">
        <v>4.2254961320119501E-2</v>
      </c>
      <c r="R83">
        <v>3.9614026237612003E-2</v>
      </c>
      <c r="S83">
        <v>3.9614026237612003E-2</v>
      </c>
    </row>
    <row r="84" spans="1:19" x14ac:dyDescent="0.25">
      <c r="A84" t="s">
        <v>5</v>
      </c>
      <c r="B84" t="s">
        <v>88</v>
      </c>
      <c r="C84" t="s">
        <v>89</v>
      </c>
      <c r="D84" t="s">
        <v>3</v>
      </c>
      <c r="E84" t="s">
        <v>214</v>
      </c>
      <c r="F84" t="s">
        <v>215</v>
      </c>
      <c r="G84" t="s">
        <v>7</v>
      </c>
      <c r="H84" t="s">
        <v>92</v>
      </c>
      <c r="J84">
        <v>47.8913166593642</v>
      </c>
      <c r="K84">
        <v>7.6164636424491103</v>
      </c>
      <c r="L84" t="s">
        <v>4</v>
      </c>
      <c r="M84">
        <v>0</v>
      </c>
      <c r="N84">
        <v>3.9440277917130026E-3</v>
      </c>
      <c r="O84">
        <v>2.2974860212062551E-2</v>
      </c>
      <c r="P84">
        <v>5.6290735573940737E-2</v>
      </c>
      <c r="Q84">
        <v>8.3387163029703115E-2</v>
      </c>
      <c r="R84">
        <v>0.11584904731038841</v>
      </c>
      <c r="S84">
        <v>0.11584904731038841</v>
      </c>
    </row>
    <row r="85" spans="1:19" x14ac:dyDescent="0.25">
      <c r="A85" t="s">
        <v>5</v>
      </c>
      <c r="B85" t="s">
        <v>88</v>
      </c>
      <c r="C85" t="s">
        <v>89</v>
      </c>
      <c r="D85" t="s">
        <v>3</v>
      </c>
      <c r="E85" t="s">
        <v>216</v>
      </c>
      <c r="F85" t="s">
        <v>217</v>
      </c>
      <c r="G85" t="s">
        <v>7</v>
      </c>
      <c r="H85" t="s">
        <v>92</v>
      </c>
      <c r="J85">
        <v>47.759231598699401</v>
      </c>
      <c r="K85">
        <v>10.3188000105651</v>
      </c>
      <c r="L85" t="s">
        <v>4</v>
      </c>
      <c r="M85">
        <v>0</v>
      </c>
      <c r="N85">
        <v>3.4110510631031369E-3</v>
      </c>
      <c r="O85">
        <v>1.987014937259465E-2</v>
      </c>
      <c r="P85">
        <v>4.8683879415300099E-2</v>
      </c>
      <c r="Q85">
        <v>7.2118627485148648E-2</v>
      </c>
      <c r="R85">
        <v>0.1001937706468224</v>
      </c>
      <c r="S85">
        <v>0.1001937706468224</v>
      </c>
    </row>
    <row r="86" spans="1:19" x14ac:dyDescent="0.25">
      <c r="A86" t="s">
        <v>5</v>
      </c>
      <c r="B86" t="s">
        <v>88</v>
      </c>
      <c r="C86" t="s">
        <v>89</v>
      </c>
      <c r="D86" t="s">
        <v>3</v>
      </c>
      <c r="E86" t="s">
        <v>218</v>
      </c>
      <c r="F86" t="s">
        <v>219</v>
      </c>
      <c r="G86" t="s">
        <v>7</v>
      </c>
      <c r="H86" t="s">
        <v>92</v>
      </c>
      <c r="J86">
        <v>47.856070663241397</v>
      </c>
      <c r="K86">
        <v>12.133583031456901</v>
      </c>
      <c r="L86" t="s">
        <v>4</v>
      </c>
      <c r="M86">
        <v>0</v>
      </c>
      <c r="N86">
        <v>2.1319069144394602E-3</v>
      </c>
      <c r="O86">
        <v>1.241884335787165E-2</v>
      </c>
      <c r="P86">
        <v>3.042742463456256E-2</v>
      </c>
      <c r="Q86">
        <v>4.5074142178217889E-2</v>
      </c>
      <c r="R86">
        <v>6.2621106654264E-2</v>
      </c>
      <c r="S86">
        <v>6.2621106654264E-2</v>
      </c>
    </row>
    <row r="87" spans="1:19" x14ac:dyDescent="0.25">
      <c r="A87" t="s">
        <v>5</v>
      </c>
      <c r="B87" t="s">
        <v>88</v>
      </c>
      <c r="C87" t="s">
        <v>89</v>
      </c>
      <c r="D87" t="s">
        <v>3</v>
      </c>
      <c r="E87" t="s">
        <v>220</v>
      </c>
      <c r="F87" t="s">
        <v>221</v>
      </c>
      <c r="G87" t="s">
        <v>7</v>
      </c>
      <c r="H87" t="s">
        <v>92</v>
      </c>
      <c r="J87">
        <v>48.184673170211902</v>
      </c>
      <c r="K87">
        <v>12.738267243775899</v>
      </c>
      <c r="L87" t="s">
        <v>4</v>
      </c>
      <c r="M87">
        <v>0</v>
      </c>
      <c r="N87">
        <v>5.6026513711469024E-3</v>
      </c>
      <c r="O87">
        <v>3.2636720344486697E-2</v>
      </c>
      <c r="P87">
        <v>7.9963271939630404E-2</v>
      </c>
      <c r="Q87">
        <v>0.1184548456443566</v>
      </c>
      <c r="R87">
        <v>0.16456826828740581</v>
      </c>
      <c r="S87">
        <v>0.16456826828740581</v>
      </c>
    </row>
    <row r="88" spans="1:19" x14ac:dyDescent="0.25">
      <c r="A88" t="s">
        <v>5</v>
      </c>
      <c r="B88" t="s">
        <v>88</v>
      </c>
      <c r="C88" t="s">
        <v>89</v>
      </c>
      <c r="D88" t="s">
        <v>3</v>
      </c>
      <c r="E88" t="s">
        <v>222</v>
      </c>
      <c r="F88" t="s">
        <v>223</v>
      </c>
      <c r="G88" t="s">
        <v>7</v>
      </c>
      <c r="H88" t="s">
        <v>92</v>
      </c>
      <c r="J88">
        <v>48.181362762214398</v>
      </c>
      <c r="K88">
        <v>11.637290274996801</v>
      </c>
      <c r="L88" t="s">
        <v>4</v>
      </c>
      <c r="M88">
        <v>0</v>
      </c>
      <c r="N88">
        <v>1.5349729783964121E-2</v>
      </c>
      <c r="O88">
        <v>8.9415672176675898E-2</v>
      </c>
      <c r="P88">
        <v>0.2190774573688504</v>
      </c>
      <c r="Q88">
        <v>0.32453382368316891</v>
      </c>
      <c r="R88">
        <v>0.45087196791070078</v>
      </c>
      <c r="S88">
        <v>0.45087196791070078</v>
      </c>
    </row>
    <row r="89" spans="1:19" x14ac:dyDescent="0.25">
      <c r="A89" t="s">
        <v>5</v>
      </c>
      <c r="B89" t="s">
        <v>88</v>
      </c>
      <c r="C89" t="s">
        <v>89</v>
      </c>
      <c r="D89" t="s">
        <v>3</v>
      </c>
      <c r="E89" t="s">
        <v>224</v>
      </c>
      <c r="F89" t="s">
        <v>225</v>
      </c>
      <c r="G89" t="s">
        <v>7</v>
      </c>
      <c r="H89" t="s">
        <v>92</v>
      </c>
      <c r="J89">
        <v>48.234881196262798</v>
      </c>
      <c r="K89">
        <v>11.358539281154799</v>
      </c>
      <c r="L89" t="s">
        <v>4</v>
      </c>
      <c r="M89">
        <v>0</v>
      </c>
      <c r="N89">
        <v>2.7288408504825101E-3</v>
      </c>
      <c r="O89">
        <v>1.589611949807572E-2</v>
      </c>
      <c r="P89">
        <v>3.8947103532240082E-2</v>
      </c>
      <c r="Q89">
        <v>5.7694901988118913E-2</v>
      </c>
      <c r="R89">
        <v>8.0155016517457933E-2</v>
      </c>
      <c r="S89">
        <v>8.0155016517457933E-2</v>
      </c>
    </row>
    <row r="90" spans="1:19" x14ac:dyDescent="0.25">
      <c r="A90" t="s">
        <v>5</v>
      </c>
      <c r="B90" t="s">
        <v>88</v>
      </c>
      <c r="C90" t="s">
        <v>89</v>
      </c>
      <c r="D90" t="s">
        <v>3</v>
      </c>
      <c r="E90" t="s">
        <v>226</v>
      </c>
      <c r="F90" t="s">
        <v>227</v>
      </c>
      <c r="G90" t="s">
        <v>7</v>
      </c>
      <c r="H90" t="s">
        <v>92</v>
      </c>
      <c r="J90">
        <v>48.401756523337703</v>
      </c>
      <c r="K90">
        <v>10.933586928973501</v>
      </c>
      <c r="L90" t="s">
        <v>4</v>
      </c>
      <c r="M90">
        <v>0</v>
      </c>
      <c r="N90">
        <v>5.5429579775425966E-3</v>
      </c>
      <c r="O90">
        <v>3.2288992730466287E-2</v>
      </c>
      <c r="P90">
        <v>7.9111304049862663E-2</v>
      </c>
      <c r="Q90">
        <v>0.1171927696633665</v>
      </c>
      <c r="R90">
        <v>0.1628148773010864</v>
      </c>
      <c r="S90">
        <v>0.1628148773010864</v>
      </c>
    </row>
    <row r="91" spans="1:19" x14ac:dyDescent="0.25">
      <c r="A91" t="s">
        <v>5</v>
      </c>
      <c r="B91" t="s">
        <v>88</v>
      </c>
      <c r="C91" t="s">
        <v>89</v>
      </c>
      <c r="D91" t="s">
        <v>3</v>
      </c>
      <c r="E91" t="s">
        <v>228</v>
      </c>
      <c r="F91" t="s">
        <v>229</v>
      </c>
      <c r="G91" t="s">
        <v>7</v>
      </c>
      <c r="H91" t="s">
        <v>92</v>
      </c>
      <c r="J91">
        <v>48.299242841980004</v>
      </c>
      <c r="K91">
        <v>10.1345959112414</v>
      </c>
      <c r="L91" t="s">
        <v>4</v>
      </c>
      <c r="M91">
        <v>0</v>
      </c>
      <c r="N91">
        <v>2.238502260161433E-3</v>
      </c>
      <c r="O91">
        <v>1.303978552576524E-2</v>
      </c>
      <c r="P91">
        <v>3.1948795866290687E-2</v>
      </c>
      <c r="Q91">
        <v>4.7327849287128798E-2</v>
      </c>
      <c r="R91">
        <v>6.5752161986977212E-2</v>
      </c>
      <c r="S91">
        <v>6.5752161986977212E-2</v>
      </c>
    </row>
    <row r="92" spans="1:19" x14ac:dyDescent="0.25">
      <c r="A92" t="s">
        <v>5</v>
      </c>
      <c r="B92" t="s">
        <v>88</v>
      </c>
      <c r="C92" t="s">
        <v>89</v>
      </c>
      <c r="D92" t="s">
        <v>3</v>
      </c>
      <c r="E92" t="s">
        <v>230</v>
      </c>
      <c r="F92" t="s">
        <v>231</v>
      </c>
      <c r="G92" t="s">
        <v>7</v>
      </c>
      <c r="H92" t="s">
        <v>92</v>
      </c>
      <c r="J92">
        <v>48.3639939200364</v>
      </c>
      <c r="K92">
        <v>9.9550238461669505</v>
      </c>
      <c r="L92" t="s">
        <v>4</v>
      </c>
      <c r="M92">
        <v>0</v>
      </c>
      <c r="N92">
        <v>3.4110510631031369E-3</v>
      </c>
      <c r="O92">
        <v>1.987014937259465E-2</v>
      </c>
      <c r="P92">
        <v>4.8683879415300099E-2</v>
      </c>
      <c r="Q92">
        <v>7.2118627485148648E-2</v>
      </c>
      <c r="R92">
        <v>0.1001937706468224</v>
      </c>
      <c r="S92">
        <v>0.1001937706468224</v>
      </c>
    </row>
    <row r="93" spans="1:19" x14ac:dyDescent="0.25">
      <c r="A93" t="s">
        <v>5</v>
      </c>
      <c r="B93" t="s">
        <v>88</v>
      </c>
      <c r="C93" t="s">
        <v>89</v>
      </c>
      <c r="D93" t="s">
        <v>3</v>
      </c>
      <c r="E93" t="s">
        <v>232</v>
      </c>
      <c r="F93" t="s">
        <v>233</v>
      </c>
      <c r="G93" t="s">
        <v>7</v>
      </c>
      <c r="H93" t="s">
        <v>92</v>
      </c>
      <c r="J93">
        <v>48.6826663097062</v>
      </c>
      <c r="K93">
        <v>9.6712464093783197</v>
      </c>
      <c r="L93" t="s">
        <v>4</v>
      </c>
      <c r="M93">
        <v>0</v>
      </c>
      <c r="N93">
        <v>3.8284784369503832E-3</v>
      </c>
      <c r="O93">
        <v>2.2301758902065909E-2</v>
      </c>
      <c r="P93">
        <v>5.4641569158747447E-2</v>
      </c>
      <c r="Q93">
        <v>8.0944144523643707E-2</v>
      </c>
      <c r="R93">
        <v>0.1124549833297273</v>
      </c>
      <c r="S93">
        <v>0.1124549833297273</v>
      </c>
    </row>
    <row r="94" spans="1:19" x14ac:dyDescent="0.25">
      <c r="A94" t="s">
        <v>5</v>
      </c>
      <c r="B94" t="s">
        <v>88</v>
      </c>
      <c r="C94" t="s">
        <v>89</v>
      </c>
      <c r="D94" t="s">
        <v>3</v>
      </c>
      <c r="E94" t="s">
        <v>234</v>
      </c>
      <c r="F94" t="s">
        <v>235</v>
      </c>
      <c r="G94" t="s">
        <v>7</v>
      </c>
      <c r="H94" t="s">
        <v>92</v>
      </c>
      <c r="J94">
        <v>48.692656928002101</v>
      </c>
      <c r="K94">
        <v>9.0629316149567902</v>
      </c>
      <c r="L94" t="s">
        <v>4</v>
      </c>
      <c r="M94">
        <v>0</v>
      </c>
      <c r="N94">
        <v>3.3470938556699531E-3</v>
      </c>
      <c r="O94">
        <v>1.949758407185849E-2</v>
      </c>
      <c r="P94">
        <v>4.7771056676263218E-2</v>
      </c>
      <c r="Q94">
        <v>7.0766403219802099E-2</v>
      </c>
      <c r="R94">
        <v>9.8315137447194487E-2</v>
      </c>
      <c r="S94">
        <v>9.8315137447194487E-2</v>
      </c>
    </row>
    <row r="95" spans="1:19" x14ac:dyDescent="0.25">
      <c r="A95" t="s">
        <v>5</v>
      </c>
      <c r="B95" t="s">
        <v>88</v>
      </c>
      <c r="C95" t="s">
        <v>89</v>
      </c>
      <c r="D95" t="s">
        <v>3</v>
      </c>
      <c r="E95" t="s">
        <v>236</v>
      </c>
      <c r="F95" t="s">
        <v>237</v>
      </c>
      <c r="G95" t="s">
        <v>7</v>
      </c>
      <c r="H95" t="s">
        <v>92</v>
      </c>
      <c r="J95">
        <v>48.812675979614397</v>
      </c>
      <c r="K95">
        <v>9.2192278535866095</v>
      </c>
      <c r="L95" t="s">
        <v>4</v>
      </c>
      <c r="M95">
        <v>0</v>
      </c>
      <c r="N95">
        <v>8.5276276577578407E-3</v>
      </c>
      <c r="O95">
        <v>4.9675373431486598E-2</v>
      </c>
      <c r="P95">
        <v>0.1217096985382502</v>
      </c>
      <c r="Q95">
        <v>0.18029656871287161</v>
      </c>
      <c r="R95">
        <v>0.250484426617056</v>
      </c>
      <c r="S95">
        <v>0.250484426617056</v>
      </c>
    </row>
    <row r="96" spans="1:19" x14ac:dyDescent="0.25">
      <c r="A96" t="s">
        <v>5</v>
      </c>
      <c r="B96" t="s">
        <v>88</v>
      </c>
      <c r="C96" t="s">
        <v>89</v>
      </c>
      <c r="D96" t="s">
        <v>3</v>
      </c>
      <c r="E96" t="s">
        <v>238</v>
      </c>
      <c r="F96" t="s">
        <v>239</v>
      </c>
      <c r="G96" t="s">
        <v>7</v>
      </c>
      <c r="H96" t="s">
        <v>92</v>
      </c>
      <c r="J96">
        <v>48.7649516096753</v>
      </c>
      <c r="K96">
        <v>11.491986248031299</v>
      </c>
      <c r="L96" t="s">
        <v>4</v>
      </c>
      <c r="M96">
        <v>0</v>
      </c>
      <c r="N96">
        <v>5.4363626318206246E-3</v>
      </c>
      <c r="O96">
        <v>3.1668050562572707E-2</v>
      </c>
      <c r="P96">
        <v>7.7589932818134533E-2</v>
      </c>
      <c r="Q96">
        <v>0.1149390625544556</v>
      </c>
      <c r="R96">
        <v>0.15968382196837319</v>
      </c>
      <c r="S96">
        <v>0.15968382196837319</v>
      </c>
    </row>
    <row r="97" spans="1:19" x14ac:dyDescent="0.25">
      <c r="A97" t="s">
        <v>5</v>
      </c>
      <c r="B97" t="s">
        <v>88</v>
      </c>
      <c r="C97" t="s">
        <v>89</v>
      </c>
      <c r="D97" t="s">
        <v>3</v>
      </c>
      <c r="E97" t="s">
        <v>123</v>
      </c>
      <c r="F97" t="s">
        <v>124</v>
      </c>
      <c r="G97" t="s">
        <v>7</v>
      </c>
      <c r="H97" t="s">
        <v>92</v>
      </c>
      <c r="J97">
        <v>49.310909556198702</v>
      </c>
      <c r="K97">
        <v>12.0856795964654</v>
      </c>
      <c r="L97" t="s">
        <v>4</v>
      </c>
      <c r="M97">
        <v>0</v>
      </c>
      <c r="N97">
        <v>9.5935811149775712E-3</v>
      </c>
      <c r="O97">
        <v>5.5884795110422443E-2</v>
      </c>
      <c r="P97">
        <v>0.1369234108555315</v>
      </c>
      <c r="Q97">
        <v>0.20283363980198049</v>
      </c>
      <c r="R97">
        <v>0.28179497994418801</v>
      </c>
      <c r="S97">
        <v>0.28179497994418801</v>
      </c>
    </row>
    <row r="98" spans="1:19" x14ac:dyDescent="0.25">
      <c r="A98" t="s">
        <v>5</v>
      </c>
      <c r="B98" t="s">
        <v>88</v>
      </c>
      <c r="C98" t="s">
        <v>89</v>
      </c>
      <c r="D98" t="s">
        <v>3</v>
      </c>
      <c r="E98" t="s">
        <v>240</v>
      </c>
      <c r="F98" t="s">
        <v>241</v>
      </c>
      <c r="G98" t="s">
        <v>7</v>
      </c>
      <c r="H98" t="s">
        <v>92</v>
      </c>
      <c r="J98">
        <v>49.436528231838402</v>
      </c>
      <c r="K98">
        <v>11.055938430858999</v>
      </c>
      <c r="L98" t="s">
        <v>4</v>
      </c>
      <c r="M98">
        <v>0</v>
      </c>
      <c r="N98">
        <v>4.9137854491348547E-3</v>
      </c>
      <c r="O98">
        <v>2.8623919446801739E-2</v>
      </c>
      <c r="P98">
        <v>7.0131503121125899E-2</v>
      </c>
      <c r="Q98">
        <v>0.1038904008741852</v>
      </c>
      <c r="R98">
        <v>0.1443340141177549</v>
      </c>
      <c r="S98">
        <v>0.1443340141177549</v>
      </c>
    </row>
    <row r="99" spans="1:19" x14ac:dyDescent="0.25">
      <c r="A99" t="s">
        <v>5</v>
      </c>
      <c r="B99" t="s">
        <v>88</v>
      </c>
      <c r="C99" t="s">
        <v>89</v>
      </c>
      <c r="D99" t="s">
        <v>3</v>
      </c>
      <c r="E99" t="s">
        <v>242</v>
      </c>
      <c r="F99" t="s">
        <v>243</v>
      </c>
      <c r="G99" t="s">
        <v>7</v>
      </c>
      <c r="H99" t="s">
        <v>92</v>
      </c>
      <c r="J99">
        <v>49.4847294114428</v>
      </c>
      <c r="K99">
        <v>8.4277331462041705</v>
      </c>
      <c r="L99" t="s">
        <v>4</v>
      </c>
      <c r="M99">
        <v>0</v>
      </c>
      <c r="N99">
        <v>5.1165765946547051E-3</v>
      </c>
      <c r="O99">
        <v>2.9805224058891959E-2</v>
      </c>
      <c r="P99">
        <v>7.3025819122950142E-2</v>
      </c>
      <c r="Q99">
        <v>0.10817794122772301</v>
      </c>
      <c r="R99">
        <v>0.15029065597023361</v>
      </c>
      <c r="S99">
        <v>0.15029065597023361</v>
      </c>
    </row>
    <row r="100" spans="1:19" x14ac:dyDescent="0.25">
      <c r="A100" t="s">
        <v>5</v>
      </c>
      <c r="B100" t="s">
        <v>88</v>
      </c>
      <c r="C100" t="s">
        <v>89</v>
      </c>
      <c r="D100" t="s">
        <v>3</v>
      </c>
      <c r="E100" t="s">
        <v>244</v>
      </c>
      <c r="F100" t="s">
        <v>245</v>
      </c>
      <c r="G100" t="s">
        <v>7</v>
      </c>
      <c r="H100" t="s">
        <v>92</v>
      </c>
      <c r="J100">
        <v>49.228362009930002</v>
      </c>
      <c r="K100">
        <v>7.5947836424932502</v>
      </c>
      <c r="L100" t="s">
        <v>4</v>
      </c>
      <c r="M100">
        <v>0</v>
      </c>
      <c r="N100">
        <v>3.8374324459910288E-3</v>
      </c>
      <c r="O100">
        <v>2.2353918044168971E-2</v>
      </c>
      <c r="P100">
        <v>5.4769364342212613E-2</v>
      </c>
      <c r="Q100">
        <v>8.1133455920792213E-2</v>
      </c>
      <c r="R100">
        <v>0.11271799197767519</v>
      </c>
      <c r="S100">
        <v>0.11271799197767519</v>
      </c>
    </row>
    <row r="101" spans="1:19" x14ac:dyDescent="0.25">
      <c r="A101" t="s">
        <v>5</v>
      </c>
      <c r="B101" t="s">
        <v>88</v>
      </c>
      <c r="C101" t="s">
        <v>89</v>
      </c>
      <c r="D101" t="s">
        <v>3</v>
      </c>
      <c r="E101" s="122">
        <v>37956</v>
      </c>
      <c r="F101" t="s">
        <v>247</v>
      </c>
      <c r="G101" t="s">
        <v>7</v>
      </c>
      <c r="H101" t="s">
        <v>92</v>
      </c>
      <c r="J101">
        <v>49.338381652511003</v>
      </c>
      <c r="K101">
        <v>7.1695241307933903</v>
      </c>
      <c r="L101" t="s">
        <v>4</v>
      </c>
      <c r="M101">
        <v>0</v>
      </c>
      <c r="N101">
        <v>3.8374324459910288E-3</v>
      </c>
      <c r="O101">
        <v>2.2353918044168971E-2</v>
      </c>
      <c r="P101">
        <v>5.4769364342212613E-2</v>
      </c>
      <c r="Q101">
        <v>8.1133455920792213E-2</v>
      </c>
      <c r="R101">
        <v>0.11271799197767519</v>
      </c>
      <c r="S101">
        <v>0.11271799197767519</v>
      </c>
    </row>
    <row r="102" spans="1:19" x14ac:dyDescent="0.25">
      <c r="A102" t="s">
        <v>5</v>
      </c>
      <c r="B102" t="s">
        <v>88</v>
      </c>
      <c r="C102" t="s">
        <v>89</v>
      </c>
      <c r="D102" t="s">
        <v>3</v>
      </c>
      <c r="E102" s="122">
        <v>37226</v>
      </c>
      <c r="F102" t="s">
        <v>249</v>
      </c>
      <c r="G102" t="s">
        <v>7</v>
      </c>
      <c r="H102" t="s">
        <v>92</v>
      </c>
      <c r="J102">
        <v>49.214184045020403</v>
      </c>
      <c r="K102">
        <v>6.8342256750310604</v>
      </c>
      <c r="L102" t="s">
        <v>4</v>
      </c>
      <c r="M102">
        <v>0</v>
      </c>
      <c r="N102">
        <v>5.4363626318206246E-3</v>
      </c>
      <c r="O102">
        <v>3.1668050562572707E-2</v>
      </c>
      <c r="P102">
        <v>7.7589932818134533E-2</v>
      </c>
      <c r="Q102">
        <v>0.1149390625544556</v>
      </c>
      <c r="R102">
        <v>0.15968382196837319</v>
      </c>
      <c r="S102">
        <v>0.15968382196837319</v>
      </c>
    </row>
    <row r="103" spans="1:19" x14ac:dyDescent="0.25">
      <c r="A103" t="s">
        <v>5</v>
      </c>
      <c r="B103" t="s">
        <v>88</v>
      </c>
      <c r="C103" t="s">
        <v>89</v>
      </c>
      <c r="D103" t="s">
        <v>3</v>
      </c>
      <c r="E103" t="s">
        <v>250</v>
      </c>
      <c r="F103" t="s">
        <v>251</v>
      </c>
      <c r="G103" t="s">
        <v>7</v>
      </c>
      <c r="H103" t="s">
        <v>92</v>
      </c>
      <c r="J103">
        <v>49.524153126051402</v>
      </c>
      <c r="K103">
        <v>8.4520348231494697</v>
      </c>
      <c r="L103" t="s">
        <v>4</v>
      </c>
      <c r="M103">
        <v>0</v>
      </c>
      <c r="N103">
        <v>1.492334840107622E-2</v>
      </c>
      <c r="O103">
        <v>8.6931903505101549E-2</v>
      </c>
      <c r="P103">
        <v>0.2129919724419379</v>
      </c>
      <c r="Q103">
        <v>0.31551899524752519</v>
      </c>
      <c r="R103">
        <v>0.43834774657984799</v>
      </c>
      <c r="S103">
        <v>0.43834774657984799</v>
      </c>
    </row>
    <row r="104" spans="1:19" x14ac:dyDescent="0.25">
      <c r="A104" t="s">
        <v>5</v>
      </c>
      <c r="B104" t="s">
        <v>88</v>
      </c>
      <c r="C104" t="s">
        <v>89</v>
      </c>
      <c r="D104" t="s">
        <v>3</v>
      </c>
      <c r="E104" t="s">
        <v>252</v>
      </c>
      <c r="F104" t="s">
        <v>253</v>
      </c>
      <c r="G104" t="s">
        <v>7</v>
      </c>
      <c r="H104" t="s">
        <v>92</v>
      </c>
      <c r="J104">
        <v>49.911260698749501</v>
      </c>
      <c r="K104">
        <v>10.8544522964854</v>
      </c>
      <c r="L104" t="s">
        <v>4</v>
      </c>
      <c r="M104">
        <v>0</v>
      </c>
      <c r="N104">
        <v>2.544516178660073E-3</v>
      </c>
      <c r="O104">
        <v>1.4822386301354131E-2</v>
      </c>
      <c r="P104">
        <v>3.6316348398335793E-2</v>
      </c>
      <c r="Q104">
        <v>5.3797791655390177E-2</v>
      </c>
      <c r="R104">
        <v>7.4740795636130258E-2</v>
      </c>
      <c r="S104">
        <v>7.4740795636130258E-2</v>
      </c>
    </row>
    <row r="105" spans="1:19" x14ac:dyDescent="0.25">
      <c r="A105" t="s">
        <v>5</v>
      </c>
      <c r="B105" t="s">
        <v>88</v>
      </c>
      <c r="C105" t="s">
        <v>89</v>
      </c>
      <c r="D105" t="s">
        <v>3</v>
      </c>
      <c r="E105" t="s">
        <v>254</v>
      </c>
      <c r="F105" t="s">
        <v>255</v>
      </c>
      <c r="G105" t="s">
        <v>7</v>
      </c>
      <c r="H105" t="s">
        <v>92</v>
      </c>
      <c r="J105">
        <v>50.284546260640496</v>
      </c>
      <c r="K105">
        <v>10.954891596498101</v>
      </c>
      <c r="L105" t="s">
        <v>4</v>
      </c>
      <c r="M105">
        <v>0</v>
      </c>
      <c r="N105">
        <v>3.027307818504034E-3</v>
      </c>
      <c r="O105">
        <v>1.7634757568177749E-2</v>
      </c>
      <c r="P105">
        <v>4.3206942981078827E-2</v>
      </c>
      <c r="Q105">
        <v>6.4005281893069421E-2</v>
      </c>
      <c r="R105">
        <v>8.8921971449054893E-2</v>
      </c>
      <c r="S105">
        <v>8.8921971449054893E-2</v>
      </c>
    </row>
    <row r="106" spans="1:19" x14ac:dyDescent="0.25">
      <c r="A106" t="s">
        <v>5</v>
      </c>
      <c r="B106" t="s">
        <v>88</v>
      </c>
      <c r="C106" t="s">
        <v>89</v>
      </c>
      <c r="D106" t="s">
        <v>3</v>
      </c>
      <c r="E106" t="s">
        <v>256</v>
      </c>
      <c r="F106" t="s">
        <v>257</v>
      </c>
      <c r="G106" t="s">
        <v>7</v>
      </c>
      <c r="H106" t="s">
        <v>92</v>
      </c>
      <c r="J106">
        <v>50.030026592110801</v>
      </c>
      <c r="K106">
        <v>10.2239777351153</v>
      </c>
      <c r="L106" t="s">
        <v>4</v>
      </c>
      <c r="M106">
        <v>0</v>
      </c>
      <c r="N106">
        <v>4.1742737384724638E-3</v>
      </c>
      <c r="O106">
        <v>2.4316095294712691E-2</v>
      </c>
      <c r="P106">
        <v>5.9576897434473503E-2</v>
      </c>
      <c r="Q106">
        <v>8.8255170384950649E-2</v>
      </c>
      <c r="R106">
        <v>0.1226121268290489</v>
      </c>
      <c r="S106">
        <v>0.1226121268290489</v>
      </c>
    </row>
    <row r="107" spans="1:19" x14ac:dyDescent="0.25">
      <c r="A107" t="s">
        <v>5</v>
      </c>
      <c r="B107" t="s">
        <v>88</v>
      </c>
      <c r="C107" t="s">
        <v>89</v>
      </c>
      <c r="D107" t="s">
        <v>3</v>
      </c>
      <c r="E107" t="s">
        <v>258</v>
      </c>
      <c r="F107" t="s">
        <v>259</v>
      </c>
      <c r="G107" t="s">
        <v>7</v>
      </c>
      <c r="H107" t="s">
        <v>92</v>
      </c>
      <c r="J107">
        <v>49.793060377200703</v>
      </c>
      <c r="K107">
        <v>9.9938927959475894</v>
      </c>
      <c r="L107" t="s">
        <v>4</v>
      </c>
      <c r="M107">
        <v>0</v>
      </c>
      <c r="N107">
        <v>4.2638138288789203E-3</v>
      </c>
      <c r="O107">
        <v>2.4837686715743299E-2</v>
      </c>
      <c r="P107">
        <v>6.0854849269125107E-2</v>
      </c>
      <c r="Q107">
        <v>9.0148284356435779E-2</v>
      </c>
      <c r="R107">
        <v>0.125242213308528</v>
      </c>
      <c r="S107">
        <v>0.125242213308528</v>
      </c>
    </row>
    <row r="108" spans="1:19" x14ac:dyDescent="0.25">
      <c r="A108" t="s">
        <v>5</v>
      </c>
      <c r="B108" t="s">
        <v>88</v>
      </c>
      <c r="C108" t="s">
        <v>89</v>
      </c>
      <c r="D108" t="s">
        <v>3</v>
      </c>
      <c r="E108" t="s">
        <v>260</v>
      </c>
      <c r="F108" t="s">
        <v>261</v>
      </c>
      <c r="G108" t="s">
        <v>7</v>
      </c>
      <c r="H108" t="s">
        <v>92</v>
      </c>
      <c r="J108">
        <v>50.065175171520998</v>
      </c>
      <c r="K108">
        <v>8.7686207946394799</v>
      </c>
      <c r="L108" t="s">
        <v>4</v>
      </c>
      <c r="M108">
        <v>0</v>
      </c>
      <c r="N108">
        <v>6.3957207433183814E-3</v>
      </c>
      <c r="O108">
        <v>3.725653007361495E-2</v>
      </c>
      <c r="P108">
        <v>9.1282273903687677E-2</v>
      </c>
      <c r="Q108">
        <v>0.13522242653465369</v>
      </c>
      <c r="R108">
        <v>0.18786331996279201</v>
      </c>
      <c r="S108">
        <v>0.18786331996279201</v>
      </c>
    </row>
    <row r="109" spans="1:19" x14ac:dyDescent="0.25">
      <c r="A109" t="s">
        <v>5</v>
      </c>
      <c r="B109" t="s">
        <v>88</v>
      </c>
      <c r="C109" t="s">
        <v>89</v>
      </c>
      <c r="D109" t="s">
        <v>3</v>
      </c>
      <c r="E109" t="s">
        <v>262</v>
      </c>
      <c r="F109" t="s">
        <v>263</v>
      </c>
      <c r="G109" t="s">
        <v>7</v>
      </c>
      <c r="H109" t="s">
        <v>92</v>
      </c>
      <c r="J109">
        <v>50.161785947843498</v>
      </c>
      <c r="K109">
        <v>8.6353334806163904</v>
      </c>
      <c r="L109" t="s">
        <v>4</v>
      </c>
      <c r="M109">
        <v>0</v>
      </c>
      <c r="N109">
        <v>1.4390371672466359E-2</v>
      </c>
      <c r="O109">
        <v>8.3827192665633654E-2</v>
      </c>
      <c r="P109">
        <v>0.20538511628329731</v>
      </c>
      <c r="Q109">
        <v>0.30425045970297082</v>
      </c>
      <c r="R109">
        <v>0.42269246991628212</v>
      </c>
      <c r="S109">
        <v>0.42269246991628212</v>
      </c>
    </row>
    <row r="110" spans="1:19" x14ac:dyDescent="0.25">
      <c r="A110" t="s">
        <v>5</v>
      </c>
      <c r="B110" t="s">
        <v>88</v>
      </c>
      <c r="C110" t="s">
        <v>89</v>
      </c>
      <c r="D110" t="s">
        <v>3</v>
      </c>
      <c r="E110" t="s">
        <v>113</v>
      </c>
      <c r="F110" t="s">
        <v>114</v>
      </c>
      <c r="G110" t="s">
        <v>7</v>
      </c>
      <c r="H110" t="s">
        <v>92</v>
      </c>
      <c r="J110">
        <v>50.025568781747502</v>
      </c>
      <c r="K110">
        <v>8.2429430862197908</v>
      </c>
      <c r="L110" t="s">
        <v>4</v>
      </c>
      <c r="M110">
        <v>0</v>
      </c>
      <c r="N110">
        <v>7.2484835090941661E-3</v>
      </c>
      <c r="O110">
        <v>4.2224067416763607E-2</v>
      </c>
      <c r="P110">
        <v>0.10345324375751271</v>
      </c>
      <c r="Q110">
        <v>0.1532520834059409</v>
      </c>
      <c r="R110">
        <v>0.2129117626244976</v>
      </c>
      <c r="S110">
        <v>0.2129117626244976</v>
      </c>
    </row>
    <row r="111" spans="1:19" x14ac:dyDescent="0.25">
      <c r="A111" t="s">
        <v>5</v>
      </c>
      <c r="B111" t="s">
        <v>88</v>
      </c>
      <c r="C111" t="s">
        <v>89</v>
      </c>
      <c r="D111" t="s">
        <v>3</v>
      </c>
      <c r="E111" t="s">
        <v>113</v>
      </c>
      <c r="F111" t="s">
        <v>114</v>
      </c>
      <c r="G111" t="s">
        <v>7</v>
      </c>
      <c r="H111" t="s">
        <v>92</v>
      </c>
      <c r="J111">
        <v>50.042577922917403</v>
      </c>
      <c r="K111">
        <v>8.2625523964668606</v>
      </c>
      <c r="L111" t="s">
        <v>4</v>
      </c>
      <c r="M111">
        <v>0</v>
      </c>
      <c r="N111">
        <v>4.1572184831569483E-3</v>
      </c>
      <c r="O111">
        <v>2.4216744547849719E-2</v>
      </c>
      <c r="P111">
        <v>5.933347803739699E-2</v>
      </c>
      <c r="Q111">
        <v>8.7894577247524891E-2</v>
      </c>
      <c r="R111">
        <v>0.1221111579758148</v>
      </c>
      <c r="S111">
        <v>0.1221111579758148</v>
      </c>
    </row>
    <row r="112" spans="1:19" x14ac:dyDescent="0.25">
      <c r="A112" t="s">
        <v>5</v>
      </c>
      <c r="B112" t="s">
        <v>88</v>
      </c>
      <c r="C112" t="s">
        <v>89</v>
      </c>
      <c r="D112" t="s">
        <v>3</v>
      </c>
      <c r="E112" t="s">
        <v>262</v>
      </c>
      <c r="F112" t="s">
        <v>263</v>
      </c>
      <c r="G112" t="s">
        <v>7</v>
      </c>
      <c r="H112" t="s">
        <v>92</v>
      </c>
      <c r="J112">
        <v>50.079950814496499</v>
      </c>
      <c r="K112">
        <v>8.5324263561807001</v>
      </c>
      <c r="L112" t="s">
        <v>4</v>
      </c>
      <c r="M112">
        <v>0</v>
      </c>
      <c r="N112">
        <v>1.492334840107622E-2</v>
      </c>
      <c r="O112">
        <v>8.6931903505101549E-2</v>
      </c>
      <c r="P112">
        <v>0.2129919724419379</v>
      </c>
      <c r="Q112">
        <v>0.31551899524752519</v>
      </c>
      <c r="R112">
        <v>0.43834774657984799</v>
      </c>
      <c r="S112">
        <v>0.43834774657984799</v>
      </c>
    </row>
    <row r="113" spans="1:19" x14ac:dyDescent="0.25">
      <c r="A113" t="s">
        <v>5</v>
      </c>
      <c r="B113" t="s">
        <v>88</v>
      </c>
      <c r="C113" t="s">
        <v>89</v>
      </c>
      <c r="D113" t="s">
        <v>3</v>
      </c>
      <c r="E113" t="s">
        <v>264</v>
      </c>
      <c r="F113" t="s">
        <v>265</v>
      </c>
      <c r="G113" t="s">
        <v>7</v>
      </c>
      <c r="H113" t="s">
        <v>92</v>
      </c>
      <c r="J113">
        <v>49.883550454584402</v>
      </c>
      <c r="K113">
        <v>8.6452617808598706</v>
      </c>
      <c r="L113" t="s">
        <v>4</v>
      </c>
      <c r="M113">
        <v>0</v>
      </c>
      <c r="N113">
        <v>4.5196426586116561E-4</v>
      </c>
      <c r="O113">
        <v>2.6327947918687901E-3</v>
      </c>
      <c r="P113">
        <v>6.4506140225272634E-3</v>
      </c>
      <c r="Q113">
        <v>9.5557181417821949E-3</v>
      </c>
      <c r="R113">
        <v>1.3275674610703969E-2</v>
      </c>
      <c r="S113">
        <v>1.3275674610703969E-2</v>
      </c>
    </row>
    <row r="114" spans="1:19" x14ac:dyDescent="0.25">
      <c r="A114" t="s">
        <v>5</v>
      </c>
      <c r="B114" t="s">
        <v>88</v>
      </c>
      <c r="C114" t="s">
        <v>89</v>
      </c>
      <c r="D114" t="s">
        <v>3</v>
      </c>
      <c r="E114" t="s">
        <v>266</v>
      </c>
      <c r="F114" t="s">
        <v>267</v>
      </c>
      <c r="G114" t="s">
        <v>7</v>
      </c>
      <c r="H114" t="s">
        <v>92</v>
      </c>
      <c r="J114">
        <v>50.686880757254002</v>
      </c>
      <c r="K114">
        <v>11.330250719794</v>
      </c>
      <c r="L114" t="s">
        <v>4</v>
      </c>
      <c r="M114">
        <v>0</v>
      </c>
      <c r="N114">
        <v>1.7055255315515691E-3</v>
      </c>
      <c r="O114">
        <v>9.9350746862973231E-3</v>
      </c>
      <c r="P114">
        <v>2.434193970765005E-2</v>
      </c>
      <c r="Q114">
        <v>3.6059313742574317E-2</v>
      </c>
      <c r="R114">
        <v>5.0096885323411208E-2</v>
      </c>
      <c r="S114">
        <v>5.0096885323411208E-2</v>
      </c>
    </row>
    <row r="115" spans="1:19" x14ac:dyDescent="0.25">
      <c r="A115" t="s">
        <v>5</v>
      </c>
      <c r="B115" t="s">
        <v>88</v>
      </c>
      <c r="C115" t="s">
        <v>89</v>
      </c>
      <c r="D115" t="s">
        <v>3</v>
      </c>
      <c r="E115" t="s">
        <v>268</v>
      </c>
      <c r="F115" t="s">
        <v>269</v>
      </c>
      <c r="G115" t="s">
        <v>7</v>
      </c>
      <c r="H115" t="s">
        <v>92</v>
      </c>
      <c r="J115">
        <v>50.6386196331893</v>
      </c>
      <c r="K115">
        <v>10.686758610785599</v>
      </c>
      <c r="L115" t="s">
        <v>4</v>
      </c>
      <c r="M115">
        <v>0</v>
      </c>
      <c r="N115">
        <v>3.4110510631031369E-3</v>
      </c>
      <c r="O115">
        <v>1.987014937259465E-2</v>
      </c>
      <c r="P115">
        <v>4.8683879415300099E-2</v>
      </c>
      <c r="Q115">
        <v>7.2118627485148648E-2</v>
      </c>
      <c r="R115">
        <v>0.1001937706468224</v>
      </c>
      <c r="S115">
        <v>0.1001937706468224</v>
      </c>
    </row>
    <row r="116" spans="1:19" x14ac:dyDescent="0.25">
      <c r="A116" t="s">
        <v>5</v>
      </c>
      <c r="B116" t="s">
        <v>88</v>
      </c>
      <c r="C116" t="s">
        <v>89</v>
      </c>
      <c r="D116" t="s">
        <v>3</v>
      </c>
      <c r="E116" t="s">
        <v>270</v>
      </c>
      <c r="F116" t="s">
        <v>271</v>
      </c>
      <c r="G116" t="s">
        <v>7</v>
      </c>
      <c r="H116" t="s">
        <v>92</v>
      </c>
      <c r="J116">
        <v>50.567930367252103</v>
      </c>
      <c r="K116">
        <v>8.6788467253436092</v>
      </c>
      <c r="L116" t="s">
        <v>4</v>
      </c>
      <c r="M116">
        <v>0</v>
      </c>
      <c r="N116">
        <v>1.10859159550852E-3</v>
      </c>
      <c r="O116">
        <v>6.4577985460932599E-3</v>
      </c>
      <c r="P116">
        <v>1.5822260809972531E-2</v>
      </c>
      <c r="Q116">
        <v>2.3438553932673311E-2</v>
      </c>
      <c r="R116">
        <v>3.2562975460217289E-2</v>
      </c>
      <c r="S116">
        <v>3.2562975460217289E-2</v>
      </c>
    </row>
    <row r="117" spans="1:19" x14ac:dyDescent="0.25">
      <c r="A117" t="s">
        <v>5</v>
      </c>
      <c r="B117" t="s">
        <v>88</v>
      </c>
      <c r="C117" t="s">
        <v>89</v>
      </c>
      <c r="D117" t="s">
        <v>3</v>
      </c>
      <c r="E117" t="s">
        <v>272</v>
      </c>
      <c r="F117" t="s">
        <v>273</v>
      </c>
      <c r="G117" t="s">
        <v>7</v>
      </c>
      <c r="H117" t="s">
        <v>92</v>
      </c>
      <c r="J117">
        <v>50.434591396703198</v>
      </c>
      <c r="K117">
        <v>7.43195581125046</v>
      </c>
      <c r="L117" t="s">
        <v>4</v>
      </c>
      <c r="M117">
        <v>0</v>
      </c>
      <c r="N117">
        <v>2.9846696802152441E-3</v>
      </c>
      <c r="O117">
        <v>1.7386380701020311E-2</v>
      </c>
      <c r="P117">
        <v>4.2598394488387592E-2</v>
      </c>
      <c r="Q117">
        <v>6.3103799049505055E-2</v>
      </c>
      <c r="R117">
        <v>8.7669549315969611E-2</v>
      </c>
      <c r="S117">
        <v>8.7669549315969611E-2</v>
      </c>
    </row>
    <row r="118" spans="1:19" x14ac:dyDescent="0.25">
      <c r="A118" t="s">
        <v>5</v>
      </c>
      <c r="B118" t="s">
        <v>88</v>
      </c>
      <c r="C118" t="s">
        <v>89</v>
      </c>
      <c r="D118" t="s">
        <v>3</v>
      </c>
      <c r="E118" t="s">
        <v>274</v>
      </c>
      <c r="F118" t="s">
        <v>275</v>
      </c>
      <c r="G118" t="s">
        <v>7</v>
      </c>
      <c r="H118" t="s">
        <v>92</v>
      </c>
      <c r="J118">
        <v>51.019662083615501</v>
      </c>
      <c r="K118">
        <v>11.040830408822799</v>
      </c>
      <c r="L118" t="s">
        <v>4</v>
      </c>
      <c r="M118">
        <v>0</v>
      </c>
      <c r="N118">
        <v>1.5989301858295949E-3</v>
      </c>
      <c r="O118">
        <v>9.3141325184037376E-3</v>
      </c>
      <c r="P118">
        <v>2.2820568475921919E-2</v>
      </c>
      <c r="Q118">
        <v>3.3805606633663422E-2</v>
      </c>
      <c r="R118">
        <v>4.6965829990698003E-2</v>
      </c>
      <c r="S118">
        <v>4.6965829990698003E-2</v>
      </c>
    </row>
    <row r="119" spans="1:19" x14ac:dyDescent="0.25">
      <c r="A119" t="s">
        <v>5</v>
      </c>
      <c r="B119" t="s">
        <v>88</v>
      </c>
      <c r="C119" t="s">
        <v>89</v>
      </c>
      <c r="D119" t="s">
        <v>3</v>
      </c>
      <c r="E119" t="s">
        <v>276</v>
      </c>
      <c r="F119" t="s">
        <v>277</v>
      </c>
      <c r="G119" t="s">
        <v>7</v>
      </c>
      <c r="H119" t="s">
        <v>92</v>
      </c>
      <c r="J119">
        <v>50.893422321175102</v>
      </c>
      <c r="K119">
        <v>10.0001751377789</v>
      </c>
      <c r="L119" t="s">
        <v>4</v>
      </c>
      <c r="M119">
        <v>0</v>
      </c>
      <c r="N119">
        <v>6.344554977371835E-3</v>
      </c>
      <c r="O119">
        <v>3.6958477833026027E-2</v>
      </c>
      <c r="P119">
        <v>9.0552015712458175E-2</v>
      </c>
      <c r="Q119">
        <v>0.1341406471223765</v>
      </c>
      <c r="R119">
        <v>0.1863604134030897</v>
      </c>
      <c r="S119">
        <v>0.1863604134030897</v>
      </c>
    </row>
    <row r="120" spans="1:19" x14ac:dyDescent="0.25">
      <c r="A120" t="s">
        <v>5</v>
      </c>
      <c r="B120" t="s">
        <v>88</v>
      </c>
      <c r="C120" t="s">
        <v>89</v>
      </c>
      <c r="D120" t="s">
        <v>3</v>
      </c>
      <c r="E120" t="s">
        <v>278</v>
      </c>
      <c r="F120" t="s">
        <v>279</v>
      </c>
      <c r="G120" t="s">
        <v>7</v>
      </c>
      <c r="H120" t="s">
        <v>92</v>
      </c>
      <c r="J120">
        <v>50.7338782853693</v>
      </c>
      <c r="K120">
        <v>7.0774461676775298</v>
      </c>
      <c r="L120" t="s">
        <v>4</v>
      </c>
      <c r="M120">
        <v>0</v>
      </c>
      <c r="N120">
        <v>5.5429579775425966E-3</v>
      </c>
      <c r="O120">
        <v>3.2288992730466287E-2</v>
      </c>
      <c r="P120">
        <v>7.9111304049862663E-2</v>
      </c>
      <c r="Q120">
        <v>0.1171927696633665</v>
      </c>
      <c r="R120">
        <v>0.1628148773010864</v>
      </c>
      <c r="S120">
        <v>0.1628148773010864</v>
      </c>
    </row>
    <row r="121" spans="1:19" x14ac:dyDescent="0.25">
      <c r="A121" t="s">
        <v>5</v>
      </c>
      <c r="B121" t="s">
        <v>88</v>
      </c>
      <c r="C121" t="s">
        <v>89</v>
      </c>
      <c r="D121" t="s">
        <v>3</v>
      </c>
      <c r="E121" t="s">
        <v>280</v>
      </c>
      <c r="F121" t="s">
        <v>281</v>
      </c>
      <c r="G121" t="s">
        <v>7</v>
      </c>
      <c r="H121" t="s">
        <v>92</v>
      </c>
      <c r="J121">
        <v>50.857043781919401</v>
      </c>
      <c r="K121">
        <v>6.8430443253534703</v>
      </c>
      <c r="L121" t="s">
        <v>4</v>
      </c>
      <c r="M121">
        <v>0</v>
      </c>
      <c r="N121">
        <v>6.8221021262062746E-3</v>
      </c>
      <c r="O121">
        <v>3.9740298745189293E-2</v>
      </c>
      <c r="P121">
        <v>9.7367758830600198E-2</v>
      </c>
      <c r="Q121">
        <v>0.1442372549702973</v>
      </c>
      <c r="R121">
        <v>0.20038754129364481</v>
      </c>
      <c r="S121">
        <v>0.20038754129364481</v>
      </c>
    </row>
    <row r="122" spans="1:19" x14ac:dyDescent="0.25">
      <c r="A122" t="s">
        <v>5</v>
      </c>
      <c r="B122" t="s">
        <v>88</v>
      </c>
      <c r="C122" t="s">
        <v>89</v>
      </c>
      <c r="D122" t="s">
        <v>3</v>
      </c>
      <c r="E122" t="s">
        <v>282</v>
      </c>
      <c r="F122" t="s">
        <v>283</v>
      </c>
      <c r="G122" t="s">
        <v>7</v>
      </c>
      <c r="H122" t="s">
        <v>92</v>
      </c>
      <c r="J122">
        <v>50.840744146525402</v>
      </c>
      <c r="K122">
        <v>6.3146604076242001</v>
      </c>
      <c r="L122" t="s">
        <v>4</v>
      </c>
      <c r="M122">
        <v>0</v>
      </c>
      <c r="N122">
        <v>7.6748648919820577E-3</v>
      </c>
      <c r="O122">
        <v>4.4707836088337949E-2</v>
      </c>
      <c r="P122">
        <v>0.1095387286844252</v>
      </c>
      <c r="Q122">
        <v>0.1622669118415844</v>
      </c>
      <c r="R122">
        <v>0.22543598395535039</v>
      </c>
      <c r="S122">
        <v>0.22543598395535039</v>
      </c>
    </row>
    <row r="123" spans="1:19" x14ac:dyDescent="0.25">
      <c r="A123" t="s">
        <v>5</v>
      </c>
      <c r="B123" t="s">
        <v>88</v>
      </c>
      <c r="C123" t="s">
        <v>89</v>
      </c>
      <c r="D123" t="s">
        <v>3</v>
      </c>
      <c r="E123" t="s">
        <v>284</v>
      </c>
      <c r="F123" t="s">
        <v>285</v>
      </c>
      <c r="G123" t="s">
        <v>7</v>
      </c>
      <c r="H123" t="s">
        <v>92</v>
      </c>
      <c r="J123">
        <v>51.000084206588298</v>
      </c>
      <c r="K123">
        <v>6.9410077776700696</v>
      </c>
      <c r="L123" t="s">
        <v>4</v>
      </c>
      <c r="M123">
        <v>0</v>
      </c>
      <c r="N123">
        <v>1.673546927834977E-2</v>
      </c>
      <c r="O123">
        <v>9.7487920359292476E-2</v>
      </c>
      <c r="P123">
        <v>0.23885528338131609</v>
      </c>
      <c r="Q123">
        <v>0.35383201609901049</v>
      </c>
      <c r="R123">
        <v>0.49157568723597239</v>
      </c>
      <c r="S123">
        <v>0.49157568723597239</v>
      </c>
    </row>
    <row r="124" spans="1:19" x14ac:dyDescent="0.25">
      <c r="A124" t="s">
        <v>5</v>
      </c>
      <c r="B124" t="s">
        <v>88</v>
      </c>
      <c r="C124" t="s">
        <v>89</v>
      </c>
      <c r="D124" t="s">
        <v>3</v>
      </c>
      <c r="E124" t="s">
        <v>286</v>
      </c>
      <c r="F124" t="s">
        <v>287</v>
      </c>
      <c r="G124" t="s">
        <v>7</v>
      </c>
      <c r="H124" t="s">
        <v>92</v>
      </c>
      <c r="J124">
        <v>51.043500213224704</v>
      </c>
      <c r="K124">
        <v>7.0033772007603403</v>
      </c>
      <c r="L124" t="s">
        <v>4</v>
      </c>
      <c r="M124">
        <v>0</v>
      </c>
      <c r="N124">
        <v>5.9761614625566959E-3</v>
      </c>
      <c r="O124">
        <v>3.4812501700785807E-2</v>
      </c>
      <c r="P124">
        <v>8.5294156735605767E-2</v>
      </c>
      <c r="Q124">
        <v>0.1263518353539804</v>
      </c>
      <c r="R124">
        <v>0.17553948617323289</v>
      </c>
      <c r="S124">
        <v>0.17553948617323289</v>
      </c>
    </row>
    <row r="125" spans="1:19" x14ac:dyDescent="0.25">
      <c r="A125" t="s">
        <v>5</v>
      </c>
      <c r="B125" t="s">
        <v>88</v>
      </c>
      <c r="C125" t="s">
        <v>89</v>
      </c>
      <c r="D125" t="s">
        <v>3</v>
      </c>
      <c r="E125" t="s">
        <v>288</v>
      </c>
      <c r="F125" t="s">
        <v>289</v>
      </c>
      <c r="G125" t="s">
        <v>7</v>
      </c>
      <c r="H125" t="s">
        <v>92</v>
      </c>
      <c r="J125">
        <v>51.179356554170603</v>
      </c>
      <c r="K125">
        <v>7.0718129560515202</v>
      </c>
      <c r="L125" t="s">
        <v>4</v>
      </c>
      <c r="M125">
        <v>0</v>
      </c>
      <c r="N125">
        <v>3.7308371002690559E-3</v>
      </c>
      <c r="O125">
        <v>2.1732975876275391E-2</v>
      </c>
      <c r="P125">
        <v>5.3247993110484483E-2</v>
      </c>
      <c r="Q125">
        <v>7.8879748811881312E-2</v>
      </c>
      <c r="R125">
        <v>0.109586936644962</v>
      </c>
      <c r="S125">
        <v>0.109586936644962</v>
      </c>
    </row>
    <row r="126" spans="1:19" x14ac:dyDescent="0.25">
      <c r="A126" t="s">
        <v>5</v>
      </c>
      <c r="B126" t="s">
        <v>88</v>
      </c>
      <c r="C126" t="s">
        <v>89</v>
      </c>
      <c r="D126" t="s">
        <v>3</v>
      </c>
      <c r="E126" t="s">
        <v>148</v>
      </c>
      <c r="F126" t="s">
        <v>149</v>
      </c>
      <c r="G126" t="s">
        <v>7</v>
      </c>
      <c r="H126" t="s">
        <v>92</v>
      </c>
      <c r="J126">
        <v>51.225158818763497</v>
      </c>
      <c r="K126">
        <v>7.14218679322705</v>
      </c>
      <c r="L126" t="s">
        <v>4</v>
      </c>
      <c r="M126">
        <v>0</v>
      </c>
      <c r="N126">
        <v>9.1778166285235892E-3</v>
      </c>
      <c r="O126">
        <v>5.3462872278770307E-2</v>
      </c>
      <c r="P126">
        <v>0.1309894545032991</v>
      </c>
      <c r="Q126">
        <v>0.1940432805943845</v>
      </c>
      <c r="R126">
        <v>0.26958261172447351</v>
      </c>
      <c r="S126">
        <v>0.26958261172447351</v>
      </c>
    </row>
    <row r="127" spans="1:19" x14ac:dyDescent="0.25">
      <c r="A127" t="s">
        <v>5</v>
      </c>
      <c r="B127" t="s">
        <v>88</v>
      </c>
      <c r="C127" t="s">
        <v>89</v>
      </c>
      <c r="D127" t="s">
        <v>3</v>
      </c>
      <c r="E127" t="s">
        <v>290</v>
      </c>
      <c r="F127" t="s">
        <v>291</v>
      </c>
      <c r="G127" t="s">
        <v>7</v>
      </c>
      <c r="H127" t="s">
        <v>92</v>
      </c>
      <c r="J127">
        <v>51.225213235616899</v>
      </c>
      <c r="K127">
        <v>6.8231294732478602</v>
      </c>
      <c r="L127" t="s">
        <v>4</v>
      </c>
      <c r="M127">
        <v>0</v>
      </c>
      <c r="N127">
        <v>9.5935811149775712E-3</v>
      </c>
      <c r="O127">
        <v>5.5884795110422443E-2</v>
      </c>
      <c r="P127">
        <v>0.1369234108555315</v>
      </c>
      <c r="Q127">
        <v>0.20283363980198049</v>
      </c>
      <c r="R127">
        <v>0.28179497994418801</v>
      </c>
      <c r="S127">
        <v>0.28179497994418801</v>
      </c>
    </row>
    <row r="128" spans="1:19" x14ac:dyDescent="0.25">
      <c r="A128" t="s">
        <v>5</v>
      </c>
      <c r="B128" t="s">
        <v>88</v>
      </c>
      <c r="C128" t="s">
        <v>89</v>
      </c>
      <c r="D128" t="s">
        <v>3</v>
      </c>
      <c r="E128" t="s">
        <v>168</v>
      </c>
      <c r="F128" t="s">
        <v>292</v>
      </c>
      <c r="G128" t="s">
        <v>7</v>
      </c>
      <c r="H128" t="s">
        <v>92</v>
      </c>
      <c r="J128">
        <v>51.397204601676499</v>
      </c>
      <c r="K128">
        <v>7.6966569219187901</v>
      </c>
      <c r="L128" t="s">
        <v>4</v>
      </c>
      <c r="M128">
        <v>0</v>
      </c>
      <c r="N128">
        <v>6.2891253975964076E-3</v>
      </c>
      <c r="O128">
        <v>3.663558790572137E-2</v>
      </c>
      <c r="P128">
        <v>8.9760902671959533E-2</v>
      </c>
      <c r="Q128">
        <v>0.13296871942574279</v>
      </c>
      <c r="R128">
        <v>0.1847322646300788</v>
      </c>
      <c r="S128">
        <v>0.1847322646300788</v>
      </c>
    </row>
    <row r="129" spans="1:19" x14ac:dyDescent="0.25">
      <c r="A129" t="s">
        <v>5</v>
      </c>
      <c r="B129" t="s">
        <v>88</v>
      </c>
      <c r="C129" t="s">
        <v>89</v>
      </c>
      <c r="D129" t="s">
        <v>3</v>
      </c>
      <c r="E129" t="s">
        <v>293</v>
      </c>
      <c r="F129" t="s">
        <v>294</v>
      </c>
      <c r="G129" t="s">
        <v>7</v>
      </c>
      <c r="H129" t="s">
        <v>92</v>
      </c>
      <c r="J129">
        <v>51.377791605804099</v>
      </c>
      <c r="K129">
        <v>7.4708468671656298</v>
      </c>
      <c r="L129" t="s">
        <v>4</v>
      </c>
      <c r="M129">
        <v>0</v>
      </c>
      <c r="N129">
        <v>3.0699459567928231E-3</v>
      </c>
      <c r="O129">
        <v>1.788313443533518E-2</v>
      </c>
      <c r="P129">
        <v>4.3815491473770091E-2</v>
      </c>
      <c r="Q129">
        <v>6.4906764736633774E-2</v>
      </c>
      <c r="R129">
        <v>9.0174393582140175E-2</v>
      </c>
      <c r="S129">
        <v>9.0174393582140175E-2</v>
      </c>
    </row>
    <row r="130" spans="1:19" x14ac:dyDescent="0.25">
      <c r="A130" t="s">
        <v>5</v>
      </c>
      <c r="B130" t="s">
        <v>88</v>
      </c>
      <c r="C130" t="s">
        <v>89</v>
      </c>
      <c r="D130" t="s">
        <v>3</v>
      </c>
      <c r="E130" t="s">
        <v>295</v>
      </c>
      <c r="F130" t="s">
        <v>296</v>
      </c>
      <c r="G130" t="s">
        <v>7</v>
      </c>
      <c r="H130" t="s">
        <v>92</v>
      </c>
      <c r="J130">
        <v>51.378956544463001</v>
      </c>
      <c r="K130">
        <v>6.63521147457043</v>
      </c>
      <c r="L130" t="s">
        <v>4</v>
      </c>
      <c r="M130">
        <v>0</v>
      </c>
      <c r="N130">
        <v>3.7308371002690559E-3</v>
      </c>
      <c r="O130">
        <v>2.1732975876275391E-2</v>
      </c>
      <c r="P130">
        <v>5.3247993110484483E-2</v>
      </c>
      <c r="Q130">
        <v>7.8879748811881312E-2</v>
      </c>
      <c r="R130">
        <v>0.109586936644962</v>
      </c>
      <c r="S130">
        <v>0.109586936644962</v>
      </c>
    </row>
    <row r="131" spans="1:19" x14ac:dyDescent="0.25">
      <c r="A131" t="s">
        <v>5</v>
      </c>
      <c r="B131" t="s">
        <v>88</v>
      </c>
      <c r="C131" t="s">
        <v>89</v>
      </c>
      <c r="D131" t="s">
        <v>3</v>
      </c>
      <c r="E131" t="s">
        <v>297</v>
      </c>
      <c r="F131" t="s">
        <v>298</v>
      </c>
      <c r="G131" t="s">
        <v>7</v>
      </c>
      <c r="H131" t="s">
        <v>92</v>
      </c>
      <c r="J131">
        <v>51.6805489873976</v>
      </c>
      <c r="K131">
        <v>7.7440984547515601</v>
      </c>
      <c r="L131" t="s">
        <v>4</v>
      </c>
      <c r="M131">
        <v>0</v>
      </c>
      <c r="N131">
        <v>6.2891253975964076E-3</v>
      </c>
      <c r="O131">
        <v>3.663558790572137E-2</v>
      </c>
      <c r="P131">
        <v>8.9760902671959533E-2</v>
      </c>
      <c r="Q131">
        <v>0.13296871942574279</v>
      </c>
      <c r="R131">
        <v>0.1847322646300788</v>
      </c>
      <c r="S131">
        <v>0.1847322646300788</v>
      </c>
    </row>
    <row r="132" spans="1:19" x14ac:dyDescent="0.25">
      <c r="A132" t="s">
        <v>5</v>
      </c>
      <c r="B132" t="s">
        <v>88</v>
      </c>
      <c r="C132" t="s">
        <v>89</v>
      </c>
      <c r="D132" t="s">
        <v>3</v>
      </c>
      <c r="E132" t="s">
        <v>299</v>
      </c>
      <c r="F132" t="s">
        <v>300</v>
      </c>
      <c r="G132" t="s">
        <v>7</v>
      </c>
      <c r="H132" t="s">
        <v>92</v>
      </c>
      <c r="J132">
        <v>51.556850370833899</v>
      </c>
      <c r="K132">
        <v>7.1675268277465598</v>
      </c>
      <c r="L132" t="s">
        <v>4</v>
      </c>
      <c r="M132">
        <v>0</v>
      </c>
      <c r="N132">
        <v>1.2791441486636759E-2</v>
      </c>
      <c r="O132">
        <v>7.4513060147229901E-2</v>
      </c>
      <c r="P132">
        <v>0.18256454780737541</v>
      </c>
      <c r="Q132">
        <v>0.27044485306930738</v>
      </c>
      <c r="R132">
        <v>0.37572663992558403</v>
      </c>
      <c r="S132">
        <v>0.37572663992558403</v>
      </c>
    </row>
    <row r="133" spans="1:19" x14ac:dyDescent="0.25">
      <c r="A133" t="s">
        <v>5</v>
      </c>
      <c r="B133" t="s">
        <v>88</v>
      </c>
      <c r="C133" t="s">
        <v>89</v>
      </c>
      <c r="D133" t="s">
        <v>3</v>
      </c>
      <c r="E133" t="s">
        <v>301</v>
      </c>
      <c r="F133" t="s">
        <v>302</v>
      </c>
      <c r="G133" t="s">
        <v>7</v>
      </c>
      <c r="H133" t="s">
        <v>92</v>
      </c>
      <c r="J133">
        <v>51.515602331428902</v>
      </c>
      <c r="K133">
        <v>6.9939033986761299</v>
      </c>
      <c r="L133" t="s">
        <v>4</v>
      </c>
      <c r="M133">
        <v>0</v>
      </c>
      <c r="N133">
        <v>1.588270651257398E-2</v>
      </c>
      <c r="O133">
        <v>9.2520383016143806E-2</v>
      </c>
      <c r="P133">
        <v>0.2266843135274911</v>
      </c>
      <c r="Q133">
        <v>0.33580235922772339</v>
      </c>
      <c r="R133">
        <v>0.46652724457426692</v>
      </c>
      <c r="S133">
        <v>0.46652724457426692</v>
      </c>
    </row>
    <row r="134" spans="1:19" x14ac:dyDescent="0.25">
      <c r="A134" t="s">
        <v>5</v>
      </c>
      <c r="B134" t="s">
        <v>88</v>
      </c>
      <c r="C134" t="s">
        <v>89</v>
      </c>
      <c r="D134" t="s">
        <v>3</v>
      </c>
      <c r="E134" t="s">
        <v>303</v>
      </c>
      <c r="F134" t="s">
        <v>304</v>
      </c>
      <c r="G134" t="s">
        <v>7</v>
      </c>
      <c r="H134" t="s">
        <v>92</v>
      </c>
      <c r="J134">
        <v>51.485149305786599</v>
      </c>
      <c r="K134">
        <v>6.8342344499744696</v>
      </c>
      <c r="L134" t="s">
        <v>4</v>
      </c>
      <c r="M134">
        <v>0</v>
      </c>
      <c r="N134">
        <v>1.492334840107622E-2</v>
      </c>
      <c r="O134">
        <v>8.6931903505101549E-2</v>
      </c>
      <c r="P134">
        <v>0.2129919724419379</v>
      </c>
      <c r="Q134">
        <v>0.31551899524752519</v>
      </c>
      <c r="R134">
        <v>0.43834774657984799</v>
      </c>
      <c r="S134">
        <v>0.43834774657984799</v>
      </c>
    </row>
    <row r="135" spans="1:19" x14ac:dyDescent="0.25">
      <c r="A135" t="s">
        <v>5</v>
      </c>
      <c r="B135" t="s">
        <v>88</v>
      </c>
      <c r="C135" t="s">
        <v>89</v>
      </c>
      <c r="D135" t="s">
        <v>3</v>
      </c>
      <c r="E135" t="s">
        <v>305</v>
      </c>
      <c r="F135" t="s">
        <v>306</v>
      </c>
      <c r="G135" t="s">
        <v>7</v>
      </c>
      <c r="H135" t="s">
        <v>92</v>
      </c>
      <c r="J135">
        <v>51.521721608120401</v>
      </c>
      <c r="K135">
        <v>6.5743393960063701</v>
      </c>
      <c r="L135" t="s">
        <v>4</v>
      </c>
      <c r="M135">
        <v>0</v>
      </c>
      <c r="N135">
        <v>5.7561486689865441E-3</v>
      </c>
      <c r="O135">
        <v>3.3530877066253462E-2</v>
      </c>
      <c r="P135">
        <v>8.215404651331891E-2</v>
      </c>
      <c r="Q135">
        <v>0.12170018388118831</v>
      </c>
      <c r="R135">
        <v>0.1690769879665128</v>
      </c>
      <c r="S135">
        <v>0.1690769879665128</v>
      </c>
    </row>
    <row r="136" spans="1:19" x14ac:dyDescent="0.25">
      <c r="A136" t="s">
        <v>5</v>
      </c>
      <c r="B136" t="s">
        <v>88</v>
      </c>
      <c r="C136" t="s">
        <v>89</v>
      </c>
      <c r="D136" t="s">
        <v>3</v>
      </c>
      <c r="E136" t="s">
        <v>307</v>
      </c>
      <c r="F136" t="s">
        <v>308</v>
      </c>
      <c r="G136" t="s">
        <v>7</v>
      </c>
      <c r="H136" t="s">
        <v>92</v>
      </c>
      <c r="J136">
        <v>52.042676562306802</v>
      </c>
      <c r="K136">
        <v>8.6077254261775096</v>
      </c>
      <c r="L136" t="s">
        <v>4</v>
      </c>
      <c r="M136">
        <v>0</v>
      </c>
      <c r="N136">
        <v>8.5276276577578407E-3</v>
      </c>
      <c r="O136">
        <v>4.9675373431486598E-2</v>
      </c>
      <c r="P136">
        <v>0.1217096985382502</v>
      </c>
      <c r="Q136">
        <v>0.18029656871287161</v>
      </c>
      <c r="R136">
        <v>0.250484426617056</v>
      </c>
      <c r="S136">
        <v>0.250484426617056</v>
      </c>
    </row>
    <row r="137" spans="1:19" x14ac:dyDescent="0.25">
      <c r="A137" t="s">
        <v>5</v>
      </c>
      <c r="B137" t="s">
        <v>88</v>
      </c>
      <c r="C137" t="s">
        <v>89</v>
      </c>
      <c r="D137" t="s">
        <v>3</v>
      </c>
      <c r="E137" t="s">
        <v>309</v>
      </c>
      <c r="F137" t="s">
        <v>310</v>
      </c>
      <c r="G137" t="s">
        <v>7</v>
      </c>
      <c r="H137" t="s">
        <v>92</v>
      </c>
      <c r="J137">
        <v>52.300836691580201</v>
      </c>
      <c r="K137">
        <v>8.9493251591340801</v>
      </c>
      <c r="L137" t="s">
        <v>4</v>
      </c>
      <c r="M137">
        <v>0</v>
      </c>
      <c r="N137">
        <v>8.5276276577578407E-3</v>
      </c>
      <c r="O137">
        <v>4.9675373431486598E-2</v>
      </c>
      <c r="P137">
        <v>0.1217096985382502</v>
      </c>
      <c r="Q137">
        <v>0.18029656871287161</v>
      </c>
      <c r="R137">
        <v>0.250484426617056</v>
      </c>
      <c r="S137">
        <v>0.250484426617056</v>
      </c>
    </row>
    <row r="138" spans="1:19" x14ac:dyDescent="0.25">
      <c r="A138" t="s">
        <v>5</v>
      </c>
      <c r="B138" t="s">
        <v>88</v>
      </c>
      <c r="C138" t="s">
        <v>89</v>
      </c>
      <c r="D138" t="s">
        <v>3</v>
      </c>
      <c r="E138" t="s">
        <v>170</v>
      </c>
      <c r="F138" t="s">
        <v>171</v>
      </c>
      <c r="G138" t="s">
        <v>7</v>
      </c>
      <c r="H138" t="s">
        <v>92</v>
      </c>
      <c r="J138">
        <v>52.098190783390201</v>
      </c>
      <c r="K138">
        <v>9.3862909299490003</v>
      </c>
      <c r="L138" t="s">
        <v>4</v>
      </c>
      <c r="M138">
        <v>0</v>
      </c>
      <c r="N138">
        <v>7.461674200538111E-3</v>
      </c>
      <c r="O138">
        <v>4.3465951752550767E-2</v>
      </c>
      <c r="P138">
        <v>0.10649598622096899</v>
      </c>
      <c r="Q138">
        <v>0.1577594976237626</v>
      </c>
      <c r="R138">
        <v>0.21917387328992399</v>
      </c>
      <c r="S138">
        <v>0.21917387328992399</v>
      </c>
    </row>
    <row r="139" spans="1:19" x14ac:dyDescent="0.25">
      <c r="A139" t="s">
        <v>5</v>
      </c>
      <c r="B139" t="s">
        <v>88</v>
      </c>
      <c r="C139" t="s">
        <v>89</v>
      </c>
      <c r="D139" t="s">
        <v>3</v>
      </c>
      <c r="E139" t="s">
        <v>103</v>
      </c>
      <c r="F139" t="s">
        <v>104</v>
      </c>
      <c r="G139" t="s">
        <v>7</v>
      </c>
      <c r="H139" t="s">
        <v>92</v>
      </c>
      <c r="J139">
        <v>52.411837228779298</v>
      </c>
      <c r="K139">
        <v>9.8534918185363196</v>
      </c>
      <c r="L139" t="s">
        <v>4</v>
      </c>
      <c r="M139">
        <v>0</v>
      </c>
      <c r="N139">
        <v>6.3957207433183814E-3</v>
      </c>
      <c r="O139">
        <v>3.725653007361495E-2</v>
      </c>
      <c r="P139">
        <v>9.1282273903687677E-2</v>
      </c>
      <c r="Q139">
        <v>0.13522242653465369</v>
      </c>
      <c r="R139">
        <v>0.18786331996279201</v>
      </c>
      <c r="S139">
        <v>0.18786331996279201</v>
      </c>
    </row>
    <row r="140" spans="1:19" x14ac:dyDescent="0.25">
      <c r="A140" t="s">
        <v>5</v>
      </c>
      <c r="B140" t="s">
        <v>88</v>
      </c>
      <c r="C140" t="s">
        <v>89</v>
      </c>
      <c r="D140" t="s">
        <v>3</v>
      </c>
      <c r="E140" t="s">
        <v>311</v>
      </c>
      <c r="F140" t="s">
        <v>312</v>
      </c>
      <c r="G140" t="s">
        <v>7</v>
      </c>
      <c r="H140" t="s">
        <v>92</v>
      </c>
      <c r="J140">
        <v>52.223607174268402</v>
      </c>
      <c r="K140">
        <v>11.009836838522199</v>
      </c>
      <c r="L140" t="s">
        <v>4</v>
      </c>
      <c r="M140">
        <v>0</v>
      </c>
      <c r="N140">
        <v>1.119251130080717E-2</v>
      </c>
      <c r="O140">
        <v>6.5198927628826175E-2</v>
      </c>
      <c r="P140">
        <v>0.1597439793314534</v>
      </c>
      <c r="Q140">
        <v>0.23663924643564399</v>
      </c>
      <c r="R140">
        <v>0.32876080993488599</v>
      </c>
      <c r="S140">
        <v>0.32876080993488599</v>
      </c>
    </row>
    <row r="141" spans="1:19" x14ac:dyDescent="0.25">
      <c r="A141" t="s">
        <v>5</v>
      </c>
      <c r="B141" t="s">
        <v>88</v>
      </c>
      <c r="C141" t="s">
        <v>89</v>
      </c>
      <c r="D141" t="s">
        <v>3</v>
      </c>
      <c r="E141" t="s">
        <v>313</v>
      </c>
      <c r="F141" t="s">
        <v>314</v>
      </c>
      <c r="G141" t="s">
        <v>7</v>
      </c>
      <c r="H141" t="s">
        <v>92</v>
      </c>
      <c r="J141">
        <v>51.3155184159695</v>
      </c>
      <c r="K141">
        <v>9.5285438228904802</v>
      </c>
      <c r="L141" t="s">
        <v>4</v>
      </c>
      <c r="M141">
        <v>0</v>
      </c>
      <c r="N141">
        <v>5.4576817009650194E-3</v>
      </c>
      <c r="O141">
        <v>3.1792238996151433E-2</v>
      </c>
      <c r="P141">
        <v>7.789420706448015E-2</v>
      </c>
      <c r="Q141">
        <v>0.1153898039762378</v>
      </c>
      <c r="R141">
        <v>0.16031003303491589</v>
      </c>
      <c r="S141">
        <v>0.16031003303491589</v>
      </c>
    </row>
    <row r="142" spans="1:19" x14ac:dyDescent="0.25">
      <c r="A142" t="s">
        <v>5</v>
      </c>
      <c r="B142" t="s">
        <v>88</v>
      </c>
      <c r="C142" t="s">
        <v>89</v>
      </c>
      <c r="D142" t="s">
        <v>3</v>
      </c>
      <c r="E142" t="s">
        <v>184</v>
      </c>
      <c r="F142" t="s">
        <v>315</v>
      </c>
      <c r="G142" t="s">
        <v>7</v>
      </c>
      <c r="H142" t="s">
        <v>92</v>
      </c>
      <c r="J142">
        <v>51.318295472984403</v>
      </c>
      <c r="K142">
        <v>9.8488889966649893</v>
      </c>
      <c r="L142" t="s">
        <v>4</v>
      </c>
      <c r="M142">
        <v>0</v>
      </c>
      <c r="N142">
        <v>7.0352928176502204E-3</v>
      </c>
      <c r="O142">
        <v>4.0982183080976453E-2</v>
      </c>
      <c r="P142">
        <v>0.1004105012940564</v>
      </c>
      <c r="Q142">
        <v>0.1487446691881191</v>
      </c>
      <c r="R142">
        <v>0.2066496519590712</v>
      </c>
      <c r="S142">
        <v>0.2066496519590712</v>
      </c>
    </row>
    <row r="143" spans="1:19" x14ac:dyDescent="0.25">
      <c r="A143" t="s">
        <v>5</v>
      </c>
      <c r="B143" t="s">
        <v>88</v>
      </c>
      <c r="C143" t="s">
        <v>89</v>
      </c>
      <c r="D143" t="s">
        <v>3</v>
      </c>
      <c r="E143" t="s">
        <v>316</v>
      </c>
      <c r="F143" t="s">
        <v>317</v>
      </c>
      <c r="G143" t="s">
        <v>7</v>
      </c>
      <c r="H143" t="s">
        <v>92</v>
      </c>
      <c r="J143">
        <v>52.185109667754702</v>
      </c>
      <c r="K143">
        <v>11.677096821187201</v>
      </c>
      <c r="L143" t="s">
        <v>4</v>
      </c>
      <c r="M143">
        <v>0</v>
      </c>
      <c r="N143">
        <v>1.38573949438565E-2</v>
      </c>
      <c r="O143">
        <v>8.0722481826165746E-2</v>
      </c>
      <c r="P143">
        <v>0.19777826012465671</v>
      </c>
      <c r="Q143">
        <v>0.2929819241584164</v>
      </c>
      <c r="R143">
        <v>0.40703719325271609</v>
      </c>
      <c r="S143">
        <v>0.40703719325271609</v>
      </c>
    </row>
    <row r="144" spans="1:19" x14ac:dyDescent="0.25">
      <c r="A144" t="s">
        <v>5</v>
      </c>
      <c r="B144" t="s">
        <v>88</v>
      </c>
      <c r="C144" t="s">
        <v>89</v>
      </c>
      <c r="D144" t="s">
        <v>3</v>
      </c>
      <c r="E144" t="s">
        <v>133</v>
      </c>
      <c r="F144" t="s">
        <v>134</v>
      </c>
      <c r="G144" t="s">
        <v>7</v>
      </c>
      <c r="H144" t="s">
        <v>92</v>
      </c>
      <c r="J144">
        <v>51.866047845030302</v>
      </c>
      <c r="K144">
        <v>11.5761176375632</v>
      </c>
      <c r="L144" t="s">
        <v>4</v>
      </c>
      <c r="M144">
        <v>0</v>
      </c>
      <c r="N144">
        <v>8.1012462748699492E-3</v>
      </c>
      <c r="O144">
        <v>4.719160475991227E-2</v>
      </c>
      <c r="P144">
        <v>0.11562421361133771</v>
      </c>
      <c r="Q144">
        <v>0.17128174027722801</v>
      </c>
      <c r="R144">
        <v>0.23796020528620321</v>
      </c>
      <c r="S144">
        <v>0.23796020528620321</v>
      </c>
    </row>
    <row r="145" spans="1:19" x14ac:dyDescent="0.25">
      <c r="A145" t="s">
        <v>5</v>
      </c>
      <c r="B145" t="s">
        <v>88</v>
      </c>
      <c r="C145" t="s">
        <v>89</v>
      </c>
      <c r="D145" t="s">
        <v>3</v>
      </c>
      <c r="E145" t="s">
        <v>133</v>
      </c>
      <c r="F145" t="s">
        <v>134</v>
      </c>
      <c r="G145" t="s">
        <v>7</v>
      </c>
      <c r="H145" t="s">
        <v>92</v>
      </c>
      <c r="J145">
        <v>51.801934287686997</v>
      </c>
      <c r="K145">
        <v>11.7580533016112</v>
      </c>
      <c r="L145" t="s">
        <v>4</v>
      </c>
      <c r="M145">
        <v>0</v>
      </c>
      <c r="N145">
        <v>1.023315318930941E-2</v>
      </c>
      <c r="O145">
        <v>5.9610448117783918E-2</v>
      </c>
      <c r="P145">
        <v>0.14605163824590031</v>
      </c>
      <c r="Q145">
        <v>0.2163558824554459</v>
      </c>
      <c r="R145">
        <v>0.30058131194046722</v>
      </c>
      <c r="S145">
        <v>0.30058131194046722</v>
      </c>
    </row>
    <row r="146" spans="1:19" x14ac:dyDescent="0.25">
      <c r="A146" t="s">
        <v>5</v>
      </c>
      <c r="B146" t="s">
        <v>88</v>
      </c>
      <c r="C146" t="s">
        <v>89</v>
      </c>
      <c r="D146" t="s">
        <v>3</v>
      </c>
      <c r="E146" t="s">
        <v>318</v>
      </c>
      <c r="F146" t="s">
        <v>319</v>
      </c>
      <c r="G146" t="s">
        <v>7</v>
      </c>
      <c r="H146" t="s">
        <v>92</v>
      </c>
      <c r="J146">
        <v>51.461989633502597</v>
      </c>
      <c r="K146">
        <v>11.718253102371801</v>
      </c>
      <c r="L146" t="s">
        <v>4</v>
      </c>
      <c r="M146">
        <v>0</v>
      </c>
      <c r="N146">
        <v>2.558288297327353E-3</v>
      </c>
      <c r="O146">
        <v>1.4902612029445979E-2</v>
      </c>
      <c r="P146">
        <v>3.6512909561475071E-2</v>
      </c>
      <c r="Q146">
        <v>5.4088970613861483E-2</v>
      </c>
      <c r="R146">
        <v>7.5145327985116805E-2</v>
      </c>
      <c r="S146">
        <v>7.5145327985116805E-2</v>
      </c>
    </row>
    <row r="147" spans="1:19" x14ac:dyDescent="0.25">
      <c r="A147" t="s">
        <v>5</v>
      </c>
      <c r="B147" t="s">
        <v>88</v>
      </c>
      <c r="C147" t="s">
        <v>89</v>
      </c>
      <c r="D147" t="s">
        <v>3</v>
      </c>
      <c r="E147" t="s">
        <v>320</v>
      </c>
      <c r="F147" t="s">
        <v>321</v>
      </c>
      <c r="G147" t="s">
        <v>7</v>
      </c>
      <c r="H147" t="s">
        <v>92</v>
      </c>
      <c r="J147">
        <v>51.629952984810203</v>
      </c>
      <c r="K147">
        <v>12.288818212608399</v>
      </c>
      <c r="L147" t="s">
        <v>4</v>
      </c>
      <c r="M147">
        <v>0</v>
      </c>
      <c r="N147">
        <v>2.7714789887712992E-3</v>
      </c>
      <c r="O147">
        <v>1.6144496365233151E-2</v>
      </c>
      <c r="P147">
        <v>3.9555652024931331E-2</v>
      </c>
      <c r="Q147">
        <v>5.8596384831683272E-2</v>
      </c>
      <c r="R147">
        <v>8.1407438650543215E-2</v>
      </c>
      <c r="S147">
        <v>8.1407438650543215E-2</v>
      </c>
    </row>
    <row r="148" spans="1:19" x14ac:dyDescent="0.25">
      <c r="A148" t="s">
        <v>5</v>
      </c>
      <c r="B148" t="s">
        <v>88</v>
      </c>
      <c r="C148" t="s">
        <v>89</v>
      </c>
      <c r="D148" t="s">
        <v>3</v>
      </c>
      <c r="E148" t="s">
        <v>320</v>
      </c>
      <c r="F148" t="s">
        <v>321</v>
      </c>
      <c r="G148" t="s">
        <v>7</v>
      </c>
      <c r="H148" t="s">
        <v>92</v>
      </c>
      <c r="J148">
        <v>51.636746695053802</v>
      </c>
      <c r="K148">
        <v>12.2273844267456</v>
      </c>
      <c r="L148" t="s">
        <v>4</v>
      </c>
      <c r="M148">
        <v>0</v>
      </c>
      <c r="N148">
        <v>6.397618374747718E-3</v>
      </c>
      <c r="O148">
        <v>3.7267584208911519E-2</v>
      </c>
      <c r="P148">
        <v>9.1309357655285459E-2</v>
      </c>
      <c r="Q148">
        <v>0.1352625474743947</v>
      </c>
      <c r="R148">
        <v>0.18791905962915459</v>
      </c>
      <c r="S148">
        <v>0.18791905962915459</v>
      </c>
    </row>
    <row r="149" spans="1:19" x14ac:dyDescent="0.25">
      <c r="A149" t="s">
        <v>5</v>
      </c>
      <c r="B149" t="s">
        <v>88</v>
      </c>
      <c r="C149" t="s">
        <v>89</v>
      </c>
      <c r="D149" t="s">
        <v>3</v>
      </c>
      <c r="E149" t="s">
        <v>322</v>
      </c>
      <c r="F149" t="s">
        <v>323</v>
      </c>
      <c r="G149" t="s">
        <v>7</v>
      </c>
      <c r="H149" t="s">
        <v>92</v>
      </c>
      <c r="J149">
        <v>51.325433417353402</v>
      </c>
      <c r="K149">
        <v>11.995319188079399</v>
      </c>
      <c r="L149" t="s">
        <v>4</v>
      </c>
      <c r="M149">
        <v>0</v>
      </c>
      <c r="N149">
        <v>8.1012462748699492E-3</v>
      </c>
      <c r="O149">
        <v>4.719160475991227E-2</v>
      </c>
      <c r="P149">
        <v>0.11562421361133771</v>
      </c>
      <c r="Q149">
        <v>0.17128174027722801</v>
      </c>
      <c r="R149">
        <v>0.23796020528620321</v>
      </c>
      <c r="S149">
        <v>0.23796020528620321</v>
      </c>
    </row>
    <row r="150" spans="1:19" x14ac:dyDescent="0.25">
      <c r="A150" t="s">
        <v>5</v>
      </c>
      <c r="B150" t="s">
        <v>88</v>
      </c>
      <c r="C150" t="s">
        <v>89</v>
      </c>
      <c r="D150" t="s">
        <v>3</v>
      </c>
      <c r="E150" t="s">
        <v>135</v>
      </c>
      <c r="F150" t="s">
        <v>136</v>
      </c>
      <c r="G150" t="s">
        <v>7</v>
      </c>
      <c r="H150" t="s">
        <v>92</v>
      </c>
      <c r="J150">
        <v>51.181517217526597</v>
      </c>
      <c r="K150">
        <v>12.0191526174257</v>
      </c>
      <c r="L150" t="s">
        <v>4</v>
      </c>
      <c r="M150">
        <v>0</v>
      </c>
      <c r="N150">
        <v>7.2058453708053758E-3</v>
      </c>
      <c r="O150">
        <v>4.1975690549606183E-2</v>
      </c>
      <c r="P150">
        <v>0.1028446952648214</v>
      </c>
      <c r="Q150">
        <v>0.15235060056237651</v>
      </c>
      <c r="R150">
        <v>0.21165934049141241</v>
      </c>
      <c r="S150">
        <v>0.21165934049141241</v>
      </c>
    </row>
    <row r="151" spans="1:19" x14ac:dyDescent="0.25">
      <c r="A151" t="s">
        <v>5</v>
      </c>
      <c r="B151" t="s">
        <v>88</v>
      </c>
      <c r="C151" t="s">
        <v>89</v>
      </c>
      <c r="D151" t="s">
        <v>3</v>
      </c>
      <c r="E151" t="s">
        <v>324</v>
      </c>
      <c r="F151" t="s">
        <v>325</v>
      </c>
      <c r="G151" t="s">
        <v>7</v>
      </c>
      <c r="H151" t="s">
        <v>92</v>
      </c>
      <c r="J151">
        <v>52.527303928712598</v>
      </c>
      <c r="K151">
        <v>12.3597266428557</v>
      </c>
      <c r="L151" t="s">
        <v>4</v>
      </c>
      <c r="M151">
        <v>0</v>
      </c>
      <c r="N151">
        <v>6.8434211953506694E-3</v>
      </c>
      <c r="O151">
        <v>3.9864487178767997E-2</v>
      </c>
      <c r="P151">
        <v>9.7672033076945816E-2</v>
      </c>
      <c r="Q151">
        <v>0.14468799639207949</v>
      </c>
      <c r="R151">
        <v>0.20101375236018751</v>
      </c>
      <c r="S151">
        <v>0.20101375236018751</v>
      </c>
    </row>
    <row r="152" spans="1:19" x14ac:dyDescent="0.25">
      <c r="A152" t="s">
        <v>5</v>
      </c>
      <c r="B152" t="s">
        <v>88</v>
      </c>
      <c r="C152" t="s">
        <v>89</v>
      </c>
      <c r="D152" t="s">
        <v>3</v>
      </c>
      <c r="E152" t="s">
        <v>326</v>
      </c>
      <c r="F152" t="s">
        <v>327</v>
      </c>
      <c r="G152" t="s">
        <v>7</v>
      </c>
      <c r="H152" t="s">
        <v>92</v>
      </c>
      <c r="J152">
        <v>52.530336682694497</v>
      </c>
      <c r="K152">
        <v>13.2392977513279</v>
      </c>
      <c r="L152" t="s">
        <v>4</v>
      </c>
      <c r="M152">
        <v>0</v>
      </c>
      <c r="N152">
        <v>1.1459809789739589E-2</v>
      </c>
      <c r="O152">
        <v>6.6756002209036117E-2</v>
      </c>
      <c r="P152">
        <v>0.16355896983213489</v>
      </c>
      <c r="Q152">
        <v>0.24229064238194889</v>
      </c>
      <c r="R152">
        <v>0.3366122442871976</v>
      </c>
      <c r="S152">
        <v>0.3366122442871976</v>
      </c>
    </row>
    <row r="153" spans="1:19" x14ac:dyDescent="0.25">
      <c r="A153" t="s">
        <v>5</v>
      </c>
      <c r="B153" t="s">
        <v>88</v>
      </c>
      <c r="C153" t="s">
        <v>89</v>
      </c>
      <c r="D153" t="s">
        <v>3</v>
      </c>
      <c r="E153" t="s">
        <v>131</v>
      </c>
      <c r="F153" t="s">
        <v>328</v>
      </c>
      <c r="G153" t="s">
        <v>7</v>
      </c>
      <c r="H153" t="s">
        <v>92</v>
      </c>
      <c r="J153">
        <v>52.490157066964997</v>
      </c>
      <c r="K153">
        <v>13.830480586249999</v>
      </c>
      <c r="L153" t="s">
        <v>4</v>
      </c>
      <c r="M153">
        <v>0</v>
      </c>
      <c r="N153">
        <v>5.2231719403766771E-3</v>
      </c>
      <c r="O153">
        <v>3.0426166226785539E-2</v>
      </c>
      <c r="P153">
        <v>7.4547190354678272E-2</v>
      </c>
      <c r="Q153">
        <v>0.1104316483366338</v>
      </c>
      <c r="R153">
        <v>0.15342171130294679</v>
      </c>
      <c r="S153">
        <v>0.15342171130294679</v>
      </c>
    </row>
    <row r="154" spans="1:19" x14ac:dyDescent="0.25">
      <c r="A154" t="s">
        <v>5</v>
      </c>
      <c r="B154" t="s">
        <v>88</v>
      </c>
      <c r="C154" t="s">
        <v>89</v>
      </c>
      <c r="D154" t="s">
        <v>3</v>
      </c>
      <c r="E154" t="s">
        <v>196</v>
      </c>
      <c r="F154" t="s">
        <v>197</v>
      </c>
      <c r="G154" t="s">
        <v>7</v>
      </c>
      <c r="H154" t="s">
        <v>92</v>
      </c>
      <c r="J154">
        <v>52.173520463410298</v>
      </c>
      <c r="K154">
        <v>14.6401190745937</v>
      </c>
      <c r="L154" t="s">
        <v>4</v>
      </c>
      <c r="M154">
        <v>0</v>
      </c>
      <c r="N154">
        <v>1.121383036995156E-2</v>
      </c>
      <c r="O154">
        <v>6.5323116062404873E-2</v>
      </c>
      <c r="P154">
        <v>0.160048253577799</v>
      </c>
      <c r="Q154">
        <v>0.2370899878574261</v>
      </c>
      <c r="R154">
        <v>0.32938702100142858</v>
      </c>
      <c r="S154">
        <v>0.32938702100142858</v>
      </c>
    </row>
    <row r="155" spans="1:19" x14ac:dyDescent="0.25">
      <c r="A155" t="s">
        <v>5</v>
      </c>
      <c r="B155" t="s">
        <v>88</v>
      </c>
      <c r="C155" t="s">
        <v>89</v>
      </c>
      <c r="D155" t="s">
        <v>3</v>
      </c>
      <c r="E155" t="s">
        <v>329</v>
      </c>
      <c r="F155" t="s">
        <v>330</v>
      </c>
      <c r="G155" t="s">
        <v>7</v>
      </c>
      <c r="H155" t="s">
        <v>92</v>
      </c>
      <c r="J155">
        <v>51.581753362809302</v>
      </c>
      <c r="K155">
        <v>13.9777690925828</v>
      </c>
      <c r="L155" t="s">
        <v>4</v>
      </c>
      <c r="M155">
        <v>0</v>
      </c>
      <c r="N155">
        <v>6.2358277247354221E-3</v>
      </c>
      <c r="O155">
        <v>3.6325116821774583E-2</v>
      </c>
      <c r="P155">
        <v>8.9000217056095496E-2</v>
      </c>
      <c r="Q155">
        <v>0.13184186587128741</v>
      </c>
      <c r="R155">
        <v>0.18316673696372221</v>
      </c>
      <c r="S155">
        <v>0.18316673696372221</v>
      </c>
    </row>
    <row r="156" spans="1:19" x14ac:dyDescent="0.25">
      <c r="A156" t="s">
        <v>5</v>
      </c>
      <c r="B156" t="s">
        <v>88</v>
      </c>
      <c r="C156" t="s">
        <v>89</v>
      </c>
      <c r="D156" t="s">
        <v>3</v>
      </c>
      <c r="E156" t="s">
        <v>331</v>
      </c>
      <c r="F156" t="s">
        <v>332</v>
      </c>
      <c r="G156" t="s">
        <v>7</v>
      </c>
      <c r="H156" t="s">
        <v>92</v>
      </c>
      <c r="J156">
        <v>51.528581414864099</v>
      </c>
      <c r="K156">
        <v>14.365483770711201</v>
      </c>
      <c r="L156" t="s">
        <v>4</v>
      </c>
      <c r="M156">
        <v>0</v>
      </c>
      <c r="N156">
        <v>7.4702018281958696E-3</v>
      </c>
      <c r="O156">
        <v>4.3515627125982267E-2</v>
      </c>
      <c r="P156">
        <v>0.1066176959195072</v>
      </c>
      <c r="Q156">
        <v>0.1579397941924755</v>
      </c>
      <c r="R156">
        <v>0.21942435771654109</v>
      </c>
      <c r="S156">
        <v>0.21942435771654109</v>
      </c>
    </row>
    <row r="157" spans="1:19" x14ac:dyDescent="0.25">
      <c r="A157" t="s">
        <v>5</v>
      </c>
      <c r="B157" t="s">
        <v>88</v>
      </c>
      <c r="C157" t="s">
        <v>89</v>
      </c>
      <c r="D157" t="s">
        <v>3</v>
      </c>
      <c r="E157" t="s">
        <v>333</v>
      </c>
      <c r="F157" t="s">
        <v>334</v>
      </c>
      <c r="G157" t="s">
        <v>7</v>
      </c>
      <c r="H157" t="s">
        <v>92</v>
      </c>
      <c r="J157">
        <v>51.450966472458198</v>
      </c>
      <c r="K157">
        <v>14.1115261333224</v>
      </c>
      <c r="L157" t="s">
        <v>4</v>
      </c>
      <c r="M157">
        <v>0</v>
      </c>
      <c r="N157">
        <v>4.7967905574887856E-3</v>
      </c>
      <c r="O157">
        <v>2.7942397555211222E-2</v>
      </c>
      <c r="P157">
        <v>6.8461705427765765E-2</v>
      </c>
      <c r="Q157">
        <v>0.1014168199009903</v>
      </c>
      <c r="R157">
        <v>0.140897489972094</v>
      </c>
      <c r="S157">
        <v>0.140897489972094</v>
      </c>
    </row>
    <row r="158" spans="1:19" x14ac:dyDescent="0.25">
      <c r="A158" t="s">
        <v>5</v>
      </c>
      <c r="B158" t="s">
        <v>88</v>
      </c>
      <c r="C158" t="s">
        <v>89</v>
      </c>
      <c r="D158" t="s">
        <v>3</v>
      </c>
      <c r="E158" t="s">
        <v>335</v>
      </c>
      <c r="F158" t="s">
        <v>336</v>
      </c>
      <c r="G158" t="s">
        <v>7</v>
      </c>
      <c r="H158" t="s">
        <v>92</v>
      </c>
      <c r="J158">
        <v>53.08275525082</v>
      </c>
      <c r="K158">
        <v>14.3223495561177</v>
      </c>
      <c r="L158" t="s">
        <v>4</v>
      </c>
      <c r="M158">
        <v>0</v>
      </c>
      <c r="N158">
        <v>9.4267807179918284E-3</v>
      </c>
      <c r="O158">
        <v>5.491314480610255E-2</v>
      </c>
      <c r="P158">
        <v>0.13454276915212329</v>
      </c>
      <c r="Q158">
        <v>0.19930703891795681</v>
      </c>
      <c r="R158">
        <v>0.27689550455955841</v>
      </c>
      <c r="S158">
        <v>0.27689550455955841</v>
      </c>
    </row>
    <row r="159" spans="1:19" x14ac:dyDescent="0.25">
      <c r="A159" t="s">
        <v>5</v>
      </c>
      <c r="B159" t="s">
        <v>88</v>
      </c>
      <c r="C159" t="s">
        <v>89</v>
      </c>
      <c r="D159" t="s">
        <v>3</v>
      </c>
      <c r="E159" t="s">
        <v>337</v>
      </c>
      <c r="F159" t="s">
        <v>338</v>
      </c>
      <c r="G159" t="s">
        <v>7</v>
      </c>
      <c r="H159" t="s">
        <v>92</v>
      </c>
      <c r="J159">
        <v>53.707019980166699</v>
      </c>
      <c r="K159">
        <v>12.9097201162079</v>
      </c>
      <c r="L159" t="s">
        <v>4</v>
      </c>
      <c r="M159">
        <v>0</v>
      </c>
      <c r="N159">
        <v>2.7714789887712992E-3</v>
      </c>
      <c r="O159">
        <v>1.6144496365233151E-2</v>
      </c>
      <c r="P159">
        <v>3.9555652024931331E-2</v>
      </c>
      <c r="Q159">
        <v>5.8596384831683272E-2</v>
      </c>
      <c r="R159">
        <v>8.1407438650543215E-2</v>
      </c>
      <c r="S159">
        <v>8.1407438650543215E-2</v>
      </c>
    </row>
    <row r="160" spans="1:19" x14ac:dyDescent="0.25">
      <c r="A160" t="s">
        <v>5</v>
      </c>
      <c r="B160" t="s">
        <v>88</v>
      </c>
      <c r="C160" t="s">
        <v>89</v>
      </c>
      <c r="D160" t="s">
        <v>3</v>
      </c>
      <c r="E160" t="s">
        <v>339</v>
      </c>
      <c r="F160" t="s">
        <v>340</v>
      </c>
      <c r="G160" t="s">
        <v>7</v>
      </c>
      <c r="H160" t="s">
        <v>92</v>
      </c>
      <c r="J160">
        <v>54.144674194856599</v>
      </c>
      <c r="K160">
        <v>12.143597050815</v>
      </c>
      <c r="L160" t="s">
        <v>4</v>
      </c>
      <c r="M160">
        <v>0</v>
      </c>
      <c r="N160">
        <v>4.9033859032107576E-3</v>
      </c>
      <c r="O160">
        <v>2.8563339723104791E-2</v>
      </c>
      <c r="P160">
        <v>6.9983076659493881E-2</v>
      </c>
      <c r="Q160">
        <v>0.10367052700990111</v>
      </c>
      <c r="R160">
        <v>0.14402854530480719</v>
      </c>
      <c r="S160">
        <v>0.14402854530480719</v>
      </c>
    </row>
    <row r="161" spans="1:19" x14ac:dyDescent="0.25">
      <c r="A161" t="s">
        <v>5</v>
      </c>
      <c r="B161" t="s">
        <v>88</v>
      </c>
      <c r="C161" t="s">
        <v>89</v>
      </c>
      <c r="D161" t="s">
        <v>3</v>
      </c>
      <c r="E161" t="s">
        <v>341</v>
      </c>
      <c r="F161" t="s">
        <v>342</v>
      </c>
      <c r="G161" t="s">
        <v>7</v>
      </c>
      <c r="H161" t="s">
        <v>92</v>
      </c>
      <c r="J161">
        <v>53.298520963065997</v>
      </c>
      <c r="K161">
        <v>11.516331466783599</v>
      </c>
      <c r="L161" t="s">
        <v>4</v>
      </c>
      <c r="M161">
        <v>0</v>
      </c>
      <c r="N161">
        <v>1.236506010374887E-3</v>
      </c>
      <c r="O161">
        <v>7.2029291475655564E-3</v>
      </c>
      <c r="P161">
        <v>1.7647906288046279E-2</v>
      </c>
      <c r="Q161">
        <v>2.6143002463366379E-2</v>
      </c>
      <c r="R161">
        <v>3.6320241859473121E-2</v>
      </c>
      <c r="S161">
        <v>3.6320241859473121E-2</v>
      </c>
    </row>
    <row r="162" spans="1:19" x14ac:dyDescent="0.25">
      <c r="A162" t="s">
        <v>5</v>
      </c>
      <c r="B162" t="s">
        <v>88</v>
      </c>
      <c r="C162" t="s">
        <v>89</v>
      </c>
      <c r="D162" t="s">
        <v>3</v>
      </c>
      <c r="E162" t="s">
        <v>343</v>
      </c>
      <c r="F162" t="s">
        <v>344</v>
      </c>
      <c r="G162" t="s">
        <v>7</v>
      </c>
      <c r="H162" t="s">
        <v>92</v>
      </c>
      <c r="J162">
        <v>54.096261056868698</v>
      </c>
      <c r="K162">
        <v>10.7935567910729</v>
      </c>
      <c r="L162" t="s">
        <v>4</v>
      </c>
      <c r="M162">
        <v>0</v>
      </c>
      <c r="N162">
        <v>1.0799814047167419E-3</v>
      </c>
      <c r="O162">
        <v>6.2911376682306206E-3</v>
      </c>
      <c r="P162">
        <v>1.5413924771376699E-2</v>
      </c>
      <c r="Q162">
        <v>2.2833658944641622E-2</v>
      </c>
      <c r="R162">
        <v>3.1722600208917061E-2</v>
      </c>
      <c r="S162">
        <v>3.1722600208917061E-2</v>
      </c>
    </row>
    <row r="163" spans="1:19" x14ac:dyDescent="0.25">
      <c r="A163" t="s">
        <v>5</v>
      </c>
      <c r="B163" t="s">
        <v>88</v>
      </c>
      <c r="C163" t="s">
        <v>89</v>
      </c>
      <c r="D163" t="s">
        <v>3</v>
      </c>
      <c r="E163" t="s">
        <v>345</v>
      </c>
      <c r="F163" t="s">
        <v>346</v>
      </c>
      <c r="G163" t="s">
        <v>7</v>
      </c>
      <c r="H163" t="s">
        <v>92</v>
      </c>
      <c r="J163">
        <v>54.307207630516999</v>
      </c>
      <c r="K163">
        <v>10.112250575106801</v>
      </c>
      <c r="L163" t="s">
        <v>4</v>
      </c>
      <c r="M163">
        <v>0</v>
      </c>
      <c r="N163">
        <v>2.9846696802152441E-3</v>
      </c>
      <c r="O163">
        <v>1.7386380701020311E-2</v>
      </c>
      <c r="P163">
        <v>4.2598394488387592E-2</v>
      </c>
      <c r="Q163">
        <v>6.3103799049505055E-2</v>
      </c>
      <c r="R163">
        <v>8.7669549315969611E-2</v>
      </c>
      <c r="S163">
        <v>8.7669549315969611E-2</v>
      </c>
    </row>
    <row r="164" spans="1:19" x14ac:dyDescent="0.25">
      <c r="A164" t="s">
        <v>5</v>
      </c>
      <c r="B164" t="s">
        <v>88</v>
      </c>
      <c r="C164" t="s">
        <v>89</v>
      </c>
      <c r="D164" t="s">
        <v>3</v>
      </c>
      <c r="E164" t="s">
        <v>347</v>
      </c>
      <c r="F164" t="s">
        <v>348</v>
      </c>
      <c r="G164" t="s">
        <v>7</v>
      </c>
      <c r="H164" t="s">
        <v>92</v>
      </c>
      <c r="J164">
        <v>54.083000831933802</v>
      </c>
      <c r="K164">
        <v>9.9905855987305294</v>
      </c>
      <c r="L164" t="s">
        <v>4</v>
      </c>
      <c r="M164">
        <v>0</v>
      </c>
      <c r="N164">
        <v>4.2638138288789203E-3</v>
      </c>
      <c r="O164">
        <v>2.4837686715743299E-2</v>
      </c>
      <c r="P164">
        <v>6.0854849269125107E-2</v>
      </c>
      <c r="Q164">
        <v>9.0148284356435779E-2</v>
      </c>
      <c r="R164">
        <v>0.125242213308528</v>
      </c>
      <c r="S164">
        <v>0.125242213308528</v>
      </c>
    </row>
    <row r="165" spans="1:19" x14ac:dyDescent="0.25">
      <c r="A165" t="s">
        <v>5</v>
      </c>
      <c r="B165" t="s">
        <v>88</v>
      </c>
      <c r="C165" t="s">
        <v>89</v>
      </c>
      <c r="D165" t="s">
        <v>3</v>
      </c>
      <c r="E165" t="s">
        <v>349</v>
      </c>
      <c r="F165" t="s">
        <v>350</v>
      </c>
      <c r="G165" t="s">
        <v>7</v>
      </c>
      <c r="H165" t="s">
        <v>92</v>
      </c>
      <c r="J165">
        <v>53.618567260152602</v>
      </c>
      <c r="K165">
        <v>10.224497286826599</v>
      </c>
      <c r="L165" t="s">
        <v>4</v>
      </c>
      <c r="M165">
        <v>0</v>
      </c>
      <c r="N165">
        <v>7.461674200538111E-3</v>
      </c>
      <c r="O165">
        <v>4.3465951752550767E-2</v>
      </c>
      <c r="P165">
        <v>0.10649598622096899</v>
      </c>
      <c r="Q165">
        <v>0.1577594976237626</v>
      </c>
      <c r="R165">
        <v>0.21917387328992399</v>
      </c>
      <c r="S165">
        <v>0.21917387328992399</v>
      </c>
    </row>
    <row r="166" spans="1:19" x14ac:dyDescent="0.25">
      <c r="A166" t="s">
        <v>5</v>
      </c>
      <c r="B166" t="s">
        <v>88</v>
      </c>
      <c r="C166" t="s">
        <v>89</v>
      </c>
      <c r="D166" t="s">
        <v>3</v>
      </c>
      <c r="E166" t="s">
        <v>351</v>
      </c>
      <c r="F166" t="s">
        <v>352</v>
      </c>
      <c r="G166" t="s">
        <v>7</v>
      </c>
      <c r="H166" t="s">
        <v>92</v>
      </c>
      <c r="J166">
        <v>53.5318308730401</v>
      </c>
      <c r="K166">
        <v>10.0731188111496</v>
      </c>
      <c r="L166" t="s">
        <v>4</v>
      </c>
      <c r="M166">
        <v>0</v>
      </c>
      <c r="N166">
        <v>7.461674200538111E-3</v>
      </c>
      <c r="O166">
        <v>4.3465951752550767E-2</v>
      </c>
      <c r="P166">
        <v>0.10649598622096899</v>
      </c>
      <c r="Q166">
        <v>0.1577594976237626</v>
      </c>
      <c r="R166">
        <v>0.21917387328992399</v>
      </c>
      <c r="S166">
        <v>0.21917387328992399</v>
      </c>
    </row>
    <row r="167" spans="1:19" x14ac:dyDescent="0.25">
      <c r="A167" t="s">
        <v>5</v>
      </c>
      <c r="B167" t="s">
        <v>88</v>
      </c>
      <c r="C167" t="s">
        <v>89</v>
      </c>
      <c r="D167" t="s">
        <v>3</v>
      </c>
      <c r="E167" t="s">
        <v>351</v>
      </c>
      <c r="F167" t="s">
        <v>352</v>
      </c>
      <c r="G167" t="s">
        <v>7</v>
      </c>
      <c r="H167" t="s">
        <v>92</v>
      </c>
      <c r="J167">
        <v>53.520923264663601</v>
      </c>
      <c r="K167">
        <v>9.9339566733980398</v>
      </c>
      <c r="L167" t="s">
        <v>4</v>
      </c>
      <c r="M167">
        <v>0</v>
      </c>
      <c r="N167">
        <v>6.8221021262062746E-3</v>
      </c>
      <c r="O167">
        <v>3.9740298745189293E-2</v>
      </c>
      <c r="P167">
        <v>9.7367758830600198E-2</v>
      </c>
      <c r="Q167">
        <v>0.1442372549702973</v>
      </c>
      <c r="R167">
        <v>0.20038754129364481</v>
      </c>
      <c r="S167">
        <v>0.20038754129364481</v>
      </c>
    </row>
    <row r="168" spans="1:19" x14ac:dyDescent="0.25">
      <c r="A168" t="s">
        <v>5</v>
      </c>
      <c r="B168" t="s">
        <v>88</v>
      </c>
      <c r="C168" t="s">
        <v>89</v>
      </c>
      <c r="D168" t="s">
        <v>3</v>
      </c>
      <c r="E168" t="s">
        <v>353</v>
      </c>
      <c r="F168" t="s">
        <v>354</v>
      </c>
      <c r="G168" t="s">
        <v>7</v>
      </c>
      <c r="H168" t="s">
        <v>92</v>
      </c>
      <c r="J168">
        <v>53.705067779219597</v>
      </c>
      <c r="K168">
        <v>9.7764563585346291</v>
      </c>
      <c r="L168" t="s">
        <v>4</v>
      </c>
      <c r="M168">
        <v>0</v>
      </c>
      <c r="N168">
        <v>1.7055255315515691E-3</v>
      </c>
      <c r="O168">
        <v>9.9350746862973231E-3</v>
      </c>
      <c r="P168">
        <v>2.434193970765005E-2</v>
      </c>
      <c r="Q168">
        <v>3.6059313742574317E-2</v>
      </c>
      <c r="R168">
        <v>5.0096885323411208E-2</v>
      </c>
      <c r="S168">
        <v>5.0096885323411208E-2</v>
      </c>
    </row>
    <row r="169" spans="1:19" x14ac:dyDescent="0.25">
      <c r="A169" t="s">
        <v>5</v>
      </c>
      <c r="B169" t="s">
        <v>88</v>
      </c>
      <c r="C169" t="s">
        <v>89</v>
      </c>
      <c r="D169" t="s">
        <v>3</v>
      </c>
      <c r="E169" t="s">
        <v>101</v>
      </c>
      <c r="F169" t="s">
        <v>102</v>
      </c>
      <c r="G169" t="s">
        <v>7</v>
      </c>
      <c r="H169" t="s">
        <v>92</v>
      </c>
      <c r="J169">
        <v>53.781289003276903</v>
      </c>
      <c r="K169">
        <v>9.4256796677835197</v>
      </c>
      <c r="L169" t="s">
        <v>4</v>
      </c>
      <c r="M169">
        <v>0</v>
      </c>
      <c r="N169">
        <v>5.1165765946547051E-3</v>
      </c>
      <c r="O169">
        <v>2.9805224058891959E-2</v>
      </c>
      <c r="P169">
        <v>7.3025819122950142E-2</v>
      </c>
      <c r="Q169">
        <v>0.10817794122772301</v>
      </c>
      <c r="R169">
        <v>0.15029065597023361</v>
      </c>
      <c r="S169">
        <v>0.15029065597023361</v>
      </c>
    </row>
    <row r="170" spans="1:19" x14ac:dyDescent="0.25">
      <c r="A170" t="s">
        <v>5</v>
      </c>
      <c r="B170" t="s">
        <v>88</v>
      </c>
      <c r="C170" t="s">
        <v>89</v>
      </c>
      <c r="D170" t="s">
        <v>3</v>
      </c>
      <c r="E170" t="s">
        <v>355</v>
      </c>
      <c r="F170" t="s">
        <v>356</v>
      </c>
      <c r="G170" t="s">
        <v>7</v>
      </c>
      <c r="H170" t="s">
        <v>92</v>
      </c>
      <c r="J170">
        <v>53.547990834218197</v>
      </c>
      <c r="K170">
        <v>8.6178952460772305</v>
      </c>
      <c r="L170" t="s">
        <v>4</v>
      </c>
      <c r="M170">
        <v>0</v>
      </c>
      <c r="N170">
        <v>8.5596062614744332E-3</v>
      </c>
      <c r="O170">
        <v>4.986165608185468E-2</v>
      </c>
      <c r="P170">
        <v>0.1221661099077687</v>
      </c>
      <c r="Q170">
        <v>0.18097268084554491</v>
      </c>
      <c r="R170">
        <v>0.25142374321687</v>
      </c>
      <c r="S170">
        <v>0.25142374321687</v>
      </c>
    </row>
    <row r="171" spans="1:19" x14ac:dyDescent="0.25">
      <c r="A171" t="s">
        <v>5</v>
      </c>
      <c r="B171" t="s">
        <v>88</v>
      </c>
      <c r="C171" t="s">
        <v>89</v>
      </c>
      <c r="D171" t="s">
        <v>3</v>
      </c>
      <c r="E171" t="s">
        <v>357</v>
      </c>
      <c r="F171" t="s">
        <v>358</v>
      </c>
      <c r="G171" t="s">
        <v>7</v>
      </c>
      <c r="H171" t="s">
        <v>92</v>
      </c>
      <c r="J171">
        <v>53.179208621973601</v>
      </c>
      <c r="K171">
        <v>8.57233467200472</v>
      </c>
      <c r="L171" t="s">
        <v>4</v>
      </c>
      <c r="M171">
        <v>0</v>
      </c>
      <c r="N171">
        <v>1.3857394943856489E-3</v>
      </c>
      <c r="O171">
        <v>8.0722481826165735E-3</v>
      </c>
      <c r="P171">
        <v>1.9777826012465669E-2</v>
      </c>
      <c r="Q171">
        <v>2.929819241584164E-2</v>
      </c>
      <c r="R171">
        <v>4.0703719325271608E-2</v>
      </c>
      <c r="S171">
        <v>4.0703719325271608E-2</v>
      </c>
    </row>
    <row r="172" spans="1:19" x14ac:dyDescent="0.25">
      <c r="A172" t="s">
        <v>5</v>
      </c>
      <c r="B172" t="s">
        <v>88</v>
      </c>
      <c r="C172" t="s">
        <v>89</v>
      </c>
      <c r="D172" t="s">
        <v>3</v>
      </c>
      <c r="E172" t="s">
        <v>359</v>
      </c>
      <c r="F172" t="s">
        <v>360</v>
      </c>
      <c r="G172" t="s">
        <v>7</v>
      </c>
      <c r="H172" t="s">
        <v>92</v>
      </c>
      <c r="J172">
        <v>53.124072060180502</v>
      </c>
      <c r="K172">
        <v>8.7278352225128994</v>
      </c>
      <c r="L172" t="s">
        <v>4</v>
      </c>
      <c r="M172">
        <v>0</v>
      </c>
      <c r="N172">
        <v>7.355078854816139E-3</v>
      </c>
      <c r="O172">
        <v>4.2845009584657187E-2</v>
      </c>
      <c r="P172">
        <v>0.10497461498924079</v>
      </c>
      <c r="Q172">
        <v>0.15550579051485169</v>
      </c>
      <c r="R172">
        <v>0.21604281795721081</v>
      </c>
      <c r="S172">
        <v>0.21604281795721081</v>
      </c>
    </row>
    <row r="173" spans="1:19" x14ac:dyDescent="0.25">
      <c r="A173" t="s">
        <v>5</v>
      </c>
      <c r="B173" t="s">
        <v>88</v>
      </c>
      <c r="C173" t="s">
        <v>89</v>
      </c>
      <c r="D173" t="s">
        <v>3</v>
      </c>
      <c r="E173" t="s">
        <v>359</v>
      </c>
      <c r="F173" t="s">
        <v>360</v>
      </c>
      <c r="G173" t="s">
        <v>7</v>
      </c>
      <c r="H173" t="s">
        <v>92</v>
      </c>
      <c r="J173">
        <v>53.114351063617697</v>
      </c>
      <c r="K173">
        <v>8.8167435248976904</v>
      </c>
      <c r="L173" t="s">
        <v>4</v>
      </c>
      <c r="M173">
        <v>0</v>
      </c>
      <c r="N173">
        <v>1.172548802941703E-2</v>
      </c>
      <c r="O173">
        <v>6.8303638468294084E-2</v>
      </c>
      <c r="P173">
        <v>0.16735083549009411</v>
      </c>
      <c r="Q173">
        <v>0.24790778198019839</v>
      </c>
      <c r="R173">
        <v>0.34441608659845202</v>
      </c>
      <c r="S173">
        <v>0.34441608659845202</v>
      </c>
    </row>
    <row r="174" spans="1:19" x14ac:dyDescent="0.25">
      <c r="A174" t="s">
        <v>5</v>
      </c>
      <c r="B174" t="s">
        <v>88</v>
      </c>
      <c r="C174" t="s">
        <v>89</v>
      </c>
      <c r="D174" t="s">
        <v>3</v>
      </c>
      <c r="E174" t="s">
        <v>361</v>
      </c>
      <c r="F174" t="s">
        <v>362</v>
      </c>
      <c r="G174" t="s">
        <v>7</v>
      </c>
      <c r="H174" t="s">
        <v>92</v>
      </c>
      <c r="J174">
        <v>53.181020879675401</v>
      </c>
      <c r="K174">
        <v>7.3545559509035696</v>
      </c>
      <c r="L174" t="s">
        <v>4</v>
      </c>
      <c r="M174">
        <v>0</v>
      </c>
      <c r="N174">
        <v>3.8374324459910288E-3</v>
      </c>
      <c r="O174">
        <v>2.2353918044168971E-2</v>
      </c>
      <c r="P174">
        <v>5.4769364342212613E-2</v>
      </c>
      <c r="Q174">
        <v>8.1133455920792213E-2</v>
      </c>
      <c r="R174">
        <v>0.11271799197767519</v>
      </c>
      <c r="S174">
        <v>0.11271799197767519</v>
      </c>
    </row>
    <row r="175" spans="1:19" x14ac:dyDescent="0.25">
      <c r="A175" t="s">
        <v>5</v>
      </c>
      <c r="B175" t="s">
        <v>88</v>
      </c>
      <c r="C175" t="s">
        <v>89</v>
      </c>
      <c r="D175" t="s">
        <v>3</v>
      </c>
      <c r="E175" t="s">
        <v>363</v>
      </c>
      <c r="F175" t="s">
        <v>364</v>
      </c>
      <c r="G175" t="s">
        <v>7</v>
      </c>
      <c r="H175" t="s">
        <v>92</v>
      </c>
      <c r="J175">
        <v>52.643203125335098</v>
      </c>
      <c r="K175">
        <v>6.7421377013270103</v>
      </c>
      <c r="L175" t="s">
        <v>4</v>
      </c>
      <c r="M175">
        <v>0</v>
      </c>
      <c r="N175">
        <v>9.6826095477245636E-3</v>
      </c>
      <c r="O175">
        <v>5.6403406009047148E-2</v>
      </c>
      <c r="P175">
        <v>0.13819406010827079</v>
      </c>
      <c r="Q175">
        <v>0.2047159359793429</v>
      </c>
      <c r="R175">
        <v>0.28441003735807008</v>
      </c>
      <c r="S175">
        <v>0.28441003735807008</v>
      </c>
    </row>
    <row r="176" spans="1:19" x14ac:dyDescent="0.25">
      <c r="A176" t="s">
        <v>5</v>
      </c>
      <c r="B176" t="s">
        <v>88</v>
      </c>
      <c r="C176" t="s">
        <v>89</v>
      </c>
      <c r="D176" t="s">
        <v>3</v>
      </c>
      <c r="E176" t="s">
        <v>365</v>
      </c>
      <c r="F176" t="s">
        <v>366</v>
      </c>
      <c r="G176" t="s">
        <v>7</v>
      </c>
      <c r="H176" t="s">
        <v>92</v>
      </c>
      <c r="J176">
        <v>52.3131411096956</v>
      </c>
      <c r="K176">
        <v>7.3507255474933801</v>
      </c>
      <c r="L176" t="s">
        <v>4</v>
      </c>
      <c r="M176">
        <v>0</v>
      </c>
      <c r="N176">
        <v>2.7714789887712992E-3</v>
      </c>
      <c r="O176">
        <v>1.6144496365233151E-2</v>
      </c>
      <c r="P176">
        <v>3.9555652024931331E-2</v>
      </c>
      <c r="Q176">
        <v>5.8596384831683272E-2</v>
      </c>
      <c r="R176">
        <v>8.1407438650543215E-2</v>
      </c>
      <c r="S176">
        <v>8.1407438650543215E-2</v>
      </c>
    </row>
    <row r="177" spans="1:19" x14ac:dyDescent="0.25">
      <c r="A177" t="s">
        <v>5</v>
      </c>
      <c r="B177" t="s">
        <v>88</v>
      </c>
      <c r="C177" t="s">
        <v>89</v>
      </c>
      <c r="D177" t="s">
        <v>3</v>
      </c>
      <c r="E177" t="s">
        <v>196</v>
      </c>
      <c r="F177" t="s">
        <v>197</v>
      </c>
      <c r="G177" t="s">
        <v>367</v>
      </c>
      <c r="H177" t="s">
        <v>92</v>
      </c>
      <c r="J177">
        <v>52.166141000000003</v>
      </c>
      <c r="K177">
        <v>14.617682</v>
      </c>
      <c r="L177" t="s">
        <v>4</v>
      </c>
      <c r="M177">
        <v>0</v>
      </c>
      <c r="N177">
        <v>0</v>
      </c>
      <c r="O177">
        <v>0</v>
      </c>
      <c r="P177">
        <v>0.82042899999999996</v>
      </c>
      <c r="Q177">
        <v>1.640857</v>
      </c>
      <c r="R177">
        <v>2.4612859999999999</v>
      </c>
      <c r="S177">
        <v>2.4612859999999999</v>
      </c>
    </row>
    <row r="178" spans="1:19" x14ac:dyDescent="0.25">
      <c r="A178" t="s">
        <v>5</v>
      </c>
      <c r="B178" t="s">
        <v>88</v>
      </c>
      <c r="C178" t="s">
        <v>89</v>
      </c>
      <c r="D178" t="s">
        <v>3</v>
      </c>
      <c r="E178" t="s">
        <v>359</v>
      </c>
      <c r="F178" t="s">
        <v>360</v>
      </c>
      <c r="G178" t="s">
        <v>367</v>
      </c>
      <c r="H178" t="s">
        <v>92</v>
      </c>
      <c r="J178">
        <v>53.124929999999999</v>
      </c>
      <c r="K178">
        <v>8.6867289999999997</v>
      </c>
      <c r="L178" t="s">
        <v>4</v>
      </c>
      <c r="M178">
        <v>0</v>
      </c>
      <c r="N178">
        <v>0</v>
      </c>
      <c r="O178">
        <v>0</v>
      </c>
      <c r="P178">
        <v>1.7802180000000001</v>
      </c>
      <c r="Q178">
        <v>3.5604360000000002</v>
      </c>
      <c r="R178">
        <v>5.3406539999999998</v>
      </c>
      <c r="S178">
        <v>5.3406539999999998</v>
      </c>
    </row>
    <row r="179" spans="1:19" x14ac:dyDescent="0.25">
      <c r="A179" t="s">
        <v>5</v>
      </c>
      <c r="B179" t="s">
        <v>88</v>
      </c>
      <c r="C179" t="s">
        <v>89</v>
      </c>
      <c r="D179" t="s">
        <v>3</v>
      </c>
      <c r="E179" t="s">
        <v>368</v>
      </c>
      <c r="F179" t="s">
        <v>369</v>
      </c>
      <c r="G179" t="s">
        <v>367</v>
      </c>
      <c r="H179" t="s">
        <v>92</v>
      </c>
      <c r="J179">
        <v>52.154764999999998</v>
      </c>
      <c r="K179">
        <v>10.403074999999999</v>
      </c>
      <c r="L179" t="s">
        <v>4</v>
      </c>
      <c r="M179">
        <v>0</v>
      </c>
      <c r="N179">
        <v>0</v>
      </c>
      <c r="O179">
        <v>0</v>
      </c>
      <c r="P179">
        <v>1.1826000000000001</v>
      </c>
      <c r="Q179">
        <v>2.3652000000000002</v>
      </c>
      <c r="R179">
        <v>3.5478000000000001</v>
      </c>
      <c r="S179">
        <v>3.5478000000000001</v>
      </c>
    </row>
    <row r="180" spans="1:19" x14ac:dyDescent="0.25">
      <c r="A180" t="s">
        <v>5</v>
      </c>
      <c r="B180" t="s">
        <v>88</v>
      </c>
      <c r="C180" t="s">
        <v>89</v>
      </c>
      <c r="D180" t="s">
        <v>3</v>
      </c>
      <c r="E180" t="s">
        <v>370</v>
      </c>
      <c r="F180" t="s">
        <v>371</v>
      </c>
      <c r="G180" t="s">
        <v>367</v>
      </c>
      <c r="H180" t="s">
        <v>92</v>
      </c>
      <c r="J180">
        <v>51.503689999999999</v>
      </c>
      <c r="K180">
        <v>6.7359070000000001</v>
      </c>
      <c r="L180" t="s">
        <v>4</v>
      </c>
      <c r="M180">
        <v>0</v>
      </c>
      <c r="N180">
        <v>0</v>
      </c>
      <c r="O180">
        <v>0</v>
      </c>
      <c r="P180">
        <v>3.98142</v>
      </c>
      <c r="Q180">
        <v>7.9628399999999999</v>
      </c>
      <c r="R180">
        <v>11.94426</v>
      </c>
      <c r="S180">
        <v>11.94426</v>
      </c>
    </row>
    <row r="181" spans="1:19" x14ac:dyDescent="0.25">
      <c r="A181" t="s">
        <v>5</v>
      </c>
      <c r="B181" t="s">
        <v>88</v>
      </c>
      <c r="C181" t="s">
        <v>89</v>
      </c>
      <c r="D181" t="s">
        <v>3</v>
      </c>
      <c r="E181" t="s">
        <v>372</v>
      </c>
      <c r="F181" t="s">
        <v>373</v>
      </c>
      <c r="G181" t="s">
        <v>367</v>
      </c>
      <c r="H181" t="s">
        <v>92</v>
      </c>
      <c r="J181">
        <v>49.352136999999999</v>
      </c>
      <c r="K181">
        <v>6.7436530000000001</v>
      </c>
      <c r="L181" t="s">
        <v>4</v>
      </c>
      <c r="M181">
        <v>0</v>
      </c>
      <c r="N181">
        <v>0</v>
      </c>
      <c r="O181">
        <v>0</v>
      </c>
      <c r="P181">
        <v>0.66149999999999998</v>
      </c>
      <c r="Q181">
        <v>1.323</v>
      </c>
      <c r="R181">
        <v>1.9844999999999999</v>
      </c>
      <c r="S181">
        <v>1.9844999999999999</v>
      </c>
    </row>
    <row r="182" spans="1:19" x14ac:dyDescent="0.25">
      <c r="A182" t="s">
        <v>5</v>
      </c>
      <c r="B182" t="s">
        <v>88</v>
      </c>
      <c r="C182" t="s">
        <v>89</v>
      </c>
      <c r="D182" t="s">
        <v>3</v>
      </c>
      <c r="E182" t="s">
        <v>374</v>
      </c>
      <c r="F182" t="s">
        <v>375</v>
      </c>
      <c r="G182" t="s">
        <v>376</v>
      </c>
      <c r="H182" t="s">
        <v>92</v>
      </c>
      <c r="J182">
        <v>49.025399999999998</v>
      </c>
      <c r="K182">
        <v>8.4304000000000006</v>
      </c>
      <c r="L182" t="s">
        <v>4</v>
      </c>
      <c r="M182">
        <v>0</v>
      </c>
      <c r="N182">
        <v>0</v>
      </c>
      <c r="O182">
        <v>0</v>
      </c>
      <c r="P182">
        <v>0.68666700000000003</v>
      </c>
      <c r="Q182">
        <v>1.3733329999999999</v>
      </c>
      <c r="R182">
        <v>2.06</v>
      </c>
      <c r="S182">
        <v>2.06</v>
      </c>
    </row>
    <row r="183" spans="1:19" x14ac:dyDescent="0.25">
      <c r="A183" t="s">
        <v>5</v>
      </c>
      <c r="B183" t="s">
        <v>88</v>
      </c>
      <c r="C183" t="s">
        <v>89</v>
      </c>
      <c r="D183" t="s">
        <v>3</v>
      </c>
      <c r="E183" t="s">
        <v>220</v>
      </c>
      <c r="F183" t="s">
        <v>377</v>
      </c>
      <c r="G183" t="s">
        <v>378</v>
      </c>
      <c r="H183" t="s">
        <v>92</v>
      </c>
      <c r="J183">
        <v>48.174922000000002</v>
      </c>
      <c r="K183">
        <v>12.816148999999999</v>
      </c>
      <c r="L183" t="s">
        <v>4</v>
      </c>
      <c r="M183">
        <v>0</v>
      </c>
      <c r="N183">
        <v>0</v>
      </c>
      <c r="O183">
        <v>0</v>
      </c>
      <c r="P183">
        <v>0.217</v>
      </c>
      <c r="Q183">
        <v>0.434</v>
      </c>
      <c r="R183">
        <v>0.65100000000000002</v>
      </c>
      <c r="S183">
        <v>0.65100000000000002</v>
      </c>
    </row>
    <row r="184" spans="1:19" x14ac:dyDescent="0.25">
      <c r="A184" t="s">
        <v>5</v>
      </c>
      <c r="B184" t="s">
        <v>88</v>
      </c>
      <c r="C184" t="s">
        <v>89</v>
      </c>
      <c r="D184" t="s">
        <v>3</v>
      </c>
      <c r="E184" t="s">
        <v>220</v>
      </c>
      <c r="F184" t="s">
        <v>377</v>
      </c>
      <c r="G184" t="s">
        <v>376</v>
      </c>
      <c r="H184" t="s">
        <v>92</v>
      </c>
      <c r="J184">
        <v>48.1571</v>
      </c>
      <c r="K184">
        <v>12.84</v>
      </c>
      <c r="L184" t="s">
        <v>4</v>
      </c>
      <c r="M184">
        <v>0</v>
      </c>
      <c r="N184">
        <v>0</v>
      </c>
      <c r="O184">
        <v>0</v>
      </c>
      <c r="P184">
        <v>0.27400000000000002</v>
      </c>
      <c r="Q184">
        <v>0.54800000000000004</v>
      </c>
      <c r="R184">
        <v>0.82199999999999995</v>
      </c>
      <c r="S184">
        <v>0.82199999999999995</v>
      </c>
    </row>
    <row r="185" spans="1:19" x14ac:dyDescent="0.25">
      <c r="A185" t="s">
        <v>5</v>
      </c>
      <c r="B185" t="s">
        <v>88</v>
      </c>
      <c r="C185" t="s">
        <v>89</v>
      </c>
      <c r="D185" t="s">
        <v>3</v>
      </c>
      <c r="E185" t="s">
        <v>238</v>
      </c>
      <c r="F185" t="s">
        <v>379</v>
      </c>
      <c r="G185" t="s">
        <v>378</v>
      </c>
      <c r="H185" t="s">
        <v>92</v>
      </c>
      <c r="J185">
        <v>48.768099999999997</v>
      </c>
      <c r="K185">
        <v>11.771000000000001</v>
      </c>
      <c r="L185" t="s">
        <v>4</v>
      </c>
      <c r="M185">
        <v>0</v>
      </c>
      <c r="N185">
        <v>0</v>
      </c>
      <c r="O185">
        <v>0</v>
      </c>
      <c r="P185">
        <v>3.7999999999999999E-2</v>
      </c>
      <c r="Q185">
        <v>7.5999999999999998E-2</v>
      </c>
      <c r="R185">
        <v>0.114</v>
      </c>
      <c r="S185">
        <v>0.114</v>
      </c>
    </row>
    <row r="186" spans="1:19" x14ac:dyDescent="0.25">
      <c r="A186" t="s">
        <v>5</v>
      </c>
      <c r="B186" t="s">
        <v>88</v>
      </c>
      <c r="C186" t="s">
        <v>89</v>
      </c>
      <c r="D186" t="s">
        <v>3</v>
      </c>
      <c r="E186" t="s">
        <v>238</v>
      </c>
      <c r="F186" t="s">
        <v>379</v>
      </c>
      <c r="G186" t="s">
        <v>380</v>
      </c>
      <c r="H186" t="s">
        <v>92</v>
      </c>
      <c r="J186">
        <v>48.768099999999997</v>
      </c>
      <c r="K186">
        <v>11.771000000000001</v>
      </c>
      <c r="L186" t="s">
        <v>4</v>
      </c>
      <c r="M186">
        <v>0</v>
      </c>
      <c r="N186">
        <v>0</v>
      </c>
      <c r="O186">
        <v>0</v>
      </c>
      <c r="P186">
        <v>0.112667</v>
      </c>
      <c r="Q186">
        <v>0.22533300000000001</v>
      </c>
      <c r="R186">
        <v>0.33800000000000002</v>
      </c>
      <c r="S186">
        <v>0.33800000000000002</v>
      </c>
    </row>
    <row r="187" spans="1:19" x14ac:dyDescent="0.25">
      <c r="A187" t="s">
        <v>5</v>
      </c>
      <c r="B187" t="s">
        <v>88</v>
      </c>
      <c r="C187" t="s">
        <v>89</v>
      </c>
      <c r="D187" t="s">
        <v>3</v>
      </c>
      <c r="E187" t="s">
        <v>381</v>
      </c>
      <c r="F187" t="s">
        <v>382</v>
      </c>
      <c r="G187" t="s">
        <v>376</v>
      </c>
      <c r="H187" t="s">
        <v>92</v>
      </c>
      <c r="J187">
        <v>48.771900000000002</v>
      </c>
      <c r="K187">
        <v>11.6206</v>
      </c>
      <c r="L187" t="s">
        <v>4</v>
      </c>
      <c r="M187">
        <v>0</v>
      </c>
      <c r="N187">
        <v>0</v>
      </c>
      <c r="O187">
        <v>0</v>
      </c>
      <c r="P187">
        <v>0.10828500000000001</v>
      </c>
      <c r="Q187">
        <v>0.21657000000000001</v>
      </c>
      <c r="R187">
        <v>0.324855</v>
      </c>
      <c r="S187">
        <v>0.324855</v>
      </c>
    </row>
    <row r="188" spans="1:19" x14ac:dyDescent="0.25">
      <c r="A188" t="s">
        <v>5</v>
      </c>
      <c r="B188" t="s">
        <v>88</v>
      </c>
      <c r="C188" t="s">
        <v>89</v>
      </c>
      <c r="D188" t="s">
        <v>3</v>
      </c>
      <c r="E188" t="s">
        <v>146</v>
      </c>
      <c r="F188" t="s">
        <v>147</v>
      </c>
      <c r="G188" t="s">
        <v>376</v>
      </c>
      <c r="H188" t="s">
        <v>92</v>
      </c>
      <c r="J188">
        <v>48.805999999999997</v>
      </c>
      <c r="K188">
        <v>11.7606</v>
      </c>
      <c r="L188" t="s">
        <v>4</v>
      </c>
      <c r="M188">
        <v>0</v>
      </c>
      <c r="N188">
        <v>0</v>
      </c>
      <c r="O188">
        <v>0</v>
      </c>
      <c r="P188">
        <v>0.28804800000000003</v>
      </c>
      <c r="Q188">
        <v>0.57609699999999997</v>
      </c>
      <c r="R188">
        <v>0.86414500000000005</v>
      </c>
      <c r="S188">
        <v>0.86414500000000005</v>
      </c>
    </row>
    <row r="189" spans="1:19" x14ac:dyDescent="0.25">
      <c r="A189" t="s">
        <v>5</v>
      </c>
      <c r="B189" t="s">
        <v>88</v>
      </c>
      <c r="C189" t="s">
        <v>89</v>
      </c>
      <c r="D189" t="s">
        <v>3</v>
      </c>
      <c r="E189" t="s">
        <v>329</v>
      </c>
      <c r="F189" t="s">
        <v>330</v>
      </c>
      <c r="G189" t="s">
        <v>378</v>
      </c>
      <c r="H189" t="s">
        <v>92</v>
      </c>
      <c r="J189">
        <v>51.502800000000001</v>
      </c>
      <c r="K189">
        <v>13.8514</v>
      </c>
      <c r="L189" t="s">
        <v>4</v>
      </c>
      <c r="M189">
        <v>0</v>
      </c>
      <c r="N189">
        <v>0</v>
      </c>
      <c r="O189">
        <v>0</v>
      </c>
      <c r="P189">
        <v>8.4000000000000005E-2</v>
      </c>
      <c r="Q189">
        <v>0.16800000000000001</v>
      </c>
      <c r="R189">
        <v>0.252</v>
      </c>
      <c r="S189">
        <v>0.252</v>
      </c>
    </row>
    <row r="190" spans="1:19" x14ac:dyDescent="0.25">
      <c r="A190" t="s">
        <v>5</v>
      </c>
      <c r="B190" t="s">
        <v>88</v>
      </c>
      <c r="C190" t="s">
        <v>89</v>
      </c>
      <c r="D190" t="s">
        <v>3</v>
      </c>
      <c r="E190" t="s">
        <v>335</v>
      </c>
      <c r="F190" t="s">
        <v>336</v>
      </c>
      <c r="G190" t="s">
        <v>376</v>
      </c>
      <c r="H190" t="s">
        <v>92</v>
      </c>
      <c r="J190">
        <v>53.061700000000002</v>
      </c>
      <c r="K190">
        <v>14.272399999999999</v>
      </c>
      <c r="L190" t="s">
        <v>4</v>
      </c>
      <c r="M190">
        <v>0</v>
      </c>
      <c r="N190">
        <v>0</v>
      </c>
      <c r="O190">
        <v>0</v>
      </c>
      <c r="P190">
        <v>0.874</v>
      </c>
      <c r="Q190">
        <v>1.748</v>
      </c>
      <c r="R190">
        <v>2.6219999999999999</v>
      </c>
      <c r="S190">
        <v>2.6219999999999999</v>
      </c>
    </row>
    <row r="191" spans="1:19" x14ac:dyDescent="0.25">
      <c r="A191" t="s">
        <v>5</v>
      </c>
      <c r="B191" t="s">
        <v>88</v>
      </c>
      <c r="C191" t="s">
        <v>89</v>
      </c>
      <c r="D191" t="s">
        <v>3</v>
      </c>
      <c r="E191" t="s">
        <v>351</v>
      </c>
      <c r="F191" t="s">
        <v>352</v>
      </c>
      <c r="G191" t="s">
        <v>376</v>
      </c>
      <c r="H191" t="s">
        <v>92</v>
      </c>
      <c r="J191">
        <v>53.482700000000001</v>
      </c>
      <c r="K191">
        <v>9.9666999999999994</v>
      </c>
      <c r="L191" t="s">
        <v>4</v>
      </c>
      <c r="M191">
        <v>0</v>
      </c>
      <c r="N191">
        <v>0</v>
      </c>
      <c r="O191">
        <v>0</v>
      </c>
      <c r="P191">
        <v>0.21166699999999999</v>
      </c>
      <c r="Q191">
        <v>0.42333300000000001</v>
      </c>
      <c r="R191">
        <v>0.63500000000000001</v>
      </c>
      <c r="S191">
        <v>0.63500000000000001</v>
      </c>
    </row>
    <row r="192" spans="1:19" x14ac:dyDescent="0.25">
      <c r="A192" t="s">
        <v>5</v>
      </c>
      <c r="B192" t="s">
        <v>88</v>
      </c>
      <c r="C192" t="s">
        <v>89</v>
      </c>
      <c r="D192" t="s">
        <v>3</v>
      </c>
      <c r="E192" t="s">
        <v>262</v>
      </c>
      <c r="F192" t="s">
        <v>263</v>
      </c>
      <c r="G192" t="s">
        <v>378</v>
      </c>
      <c r="H192" t="s">
        <v>92</v>
      </c>
      <c r="J192">
        <v>50.098599999999998</v>
      </c>
      <c r="K192">
        <v>8.5340000000000007</v>
      </c>
      <c r="L192" t="s">
        <v>4</v>
      </c>
      <c r="M192">
        <v>0</v>
      </c>
      <c r="N192">
        <v>0</v>
      </c>
      <c r="O192">
        <v>0</v>
      </c>
      <c r="P192">
        <v>0.33033299999999999</v>
      </c>
      <c r="Q192">
        <v>0.660667</v>
      </c>
      <c r="R192">
        <v>0.99099999999999999</v>
      </c>
      <c r="S192">
        <v>0.99099999999999999</v>
      </c>
    </row>
    <row r="193" spans="1:19" x14ac:dyDescent="0.25">
      <c r="A193" t="s">
        <v>5</v>
      </c>
      <c r="B193" t="s">
        <v>88</v>
      </c>
      <c r="C193" t="s">
        <v>89</v>
      </c>
      <c r="D193" t="s">
        <v>3</v>
      </c>
      <c r="E193" t="s">
        <v>383</v>
      </c>
      <c r="F193" t="s">
        <v>384</v>
      </c>
      <c r="G193" t="s">
        <v>378</v>
      </c>
      <c r="H193" t="s">
        <v>92</v>
      </c>
      <c r="J193">
        <v>53.6708</v>
      </c>
      <c r="K193">
        <v>9.5291999999999994</v>
      </c>
      <c r="L193" t="s">
        <v>4</v>
      </c>
      <c r="M193">
        <v>0</v>
      </c>
      <c r="N193">
        <v>0</v>
      </c>
      <c r="O193">
        <v>0</v>
      </c>
      <c r="P193">
        <v>0.224</v>
      </c>
      <c r="Q193">
        <v>0.44800000000000001</v>
      </c>
      <c r="R193">
        <v>0.67200000000000004</v>
      </c>
      <c r="S193">
        <v>0.67200000000000004</v>
      </c>
    </row>
    <row r="194" spans="1:19" x14ac:dyDescent="0.25">
      <c r="A194" t="s">
        <v>5</v>
      </c>
      <c r="B194" t="s">
        <v>88</v>
      </c>
      <c r="C194" t="s">
        <v>89</v>
      </c>
      <c r="D194" t="s">
        <v>3</v>
      </c>
      <c r="E194" t="s">
        <v>365</v>
      </c>
      <c r="F194" t="s">
        <v>366</v>
      </c>
      <c r="G194" t="s">
        <v>376</v>
      </c>
      <c r="H194" t="s">
        <v>92</v>
      </c>
      <c r="J194">
        <v>52.516800000000003</v>
      </c>
      <c r="K194">
        <v>7.3413000000000004</v>
      </c>
      <c r="L194" t="s">
        <v>4</v>
      </c>
      <c r="M194">
        <v>0</v>
      </c>
      <c r="N194">
        <v>0</v>
      </c>
      <c r="O194">
        <v>0</v>
      </c>
      <c r="P194">
        <v>0.29466700000000001</v>
      </c>
      <c r="Q194">
        <v>0.589333</v>
      </c>
      <c r="R194">
        <v>0.88400000000000001</v>
      </c>
      <c r="S194">
        <v>0.88400000000000001</v>
      </c>
    </row>
    <row r="195" spans="1:19" x14ac:dyDescent="0.25">
      <c r="A195" t="s">
        <v>5</v>
      </c>
      <c r="B195" t="s">
        <v>88</v>
      </c>
      <c r="C195" t="s">
        <v>89</v>
      </c>
      <c r="D195" t="s">
        <v>3</v>
      </c>
      <c r="E195" t="s">
        <v>295</v>
      </c>
      <c r="F195" t="s">
        <v>296</v>
      </c>
      <c r="G195" t="s">
        <v>378</v>
      </c>
      <c r="H195" t="s">
        <v>92</v>
      </c>
      <c r="J195">
        <v>51.3489</v>
      </c>
      <c r="K195">
        <v>6.6736000000000004</v>
      </c>
      <c r="L195" t="s">
        <v>4</v>
      </c>
      <c r="M195">
        <v>0</v>
      </c>
      <c r="N195">
        <v>0</v>
      </c>
      <c r="O195">
        <v>0</v>
      </c>
      <c r="P195">
        <v>0.31066700000000003</v>
      </c>
      <c r="Q195">
        <v>0.62133300000000002</v>
      </c>
      <c r="R195">
        <v>0.93200000000000005</v>
      </c>
      <c r="S195">
        <v>0.93200000000000005</v>
      </c>
    </row>
    <row r="196" spans="1:19" x14ac:dyDescent="0.25">
      <c r="A196" t="s">
        <v>5</v>
      </c>
      <c r="B196" t="s">
        <v>88</v>
      </c>
      <c r="C196" t="s">
        <v>89</v>
      </c>
      <c r="D196" t="s">
        <v>3</v>
      </c>
      <c r="E196" t="s">
        <v>385</v>
      </c>
      <c r="F196" t="s">
        <v>386</v>
      </c>
      <c r="G196" t="s">
        <v>378</v>
      </c>
      <c r="H196" t="s">
        <v>92</v>
      </c>
      <c r="J196">
        <v>51.1083</v>
      </c>
      <c r="K196">
        <v>6.8714000000000004</v>
      </c>
      <c r="L196" t="s">
        <v>4</v>
      </c>
      <c r="M196">
        <v>0</v>
      </c>
      <c r="N196">
        <v>0</v>
      </c>
      <c r="O196">
        <v>0</v>
      </c>
      <c r="P196">
        <v>0.26166699999999998</v>
      </c>
      <c r="Q196">
        <v>0.52333300000000005</v>
      </c>
      <c r="R196">
        <v>0.78500000000000003</v>
      </c>
      <c r="S196">
        <v>0.78500000000000003</v>
      </c>
    </row>
    <row r="197" spans="1:19" x14ac:dyDescent="0.25">
      <c r="A197" t="s">
        <v>5</v>
      </c>
      <c r="B197" t="s">
        <v>88</v>
      </c>
      <c r="C197" t="s">
        <v>89</v>
      </c>
      <c r="D197" t="s">
        <v>3</v>
      </c>
      <c r="E197" t="s">
        <v>284</v>
      </c>
      <c r="F197" t="s">
        <v>285</v>
      </c>
      <c r="G197" t="s">
        <v>378</v>
      </c>
      <c r="H197" t="s">
        <v>92</v>
      </c>
      <c r="J197">
        <v>51.105899999999998</v>
      </c>
      <c r="K197">
        <v>6.8810000000000002</v>
      </c>
      <c r="L197" t="s">
        <v>4</v>
      </c>
      <c r="M197">
        <v>0</v>
      </c>
      <c r="N197">
        <v>0</v>
      </c>
      <c r="O197">
        <v>0</v>
      </c>
      <c r="P197">
        <v>0.29199999999999998</v>
      </c>
      <c r="Q197">
        <v>0.58399999999999996</v>
      </c>
      <c r="R197">
        <v>0.876</v>
      </c>
      <c r="S197">
        <v>0.876</v>
      </c>
    </row>
    <row r="198" spans="1:19" x14ac:dyDescent="0.25">
      <c r="A198" t="s">
        <v>5</v>
      </c>
      <c r="B198" t="s">
        <v>88</v>
      </c>
      <c r="C198" t="s">
        <v>89</v>
      </c>
      <c r="D198" t="s">
        <v>3</v>
      </c>
      <c r="E198" t="s">
        <v>284</v>
      </c>
      <c r="F198" t="s">
        <v>285</v>
      </c>
      <c r="G198" t="s">
        <v>376</v>
      </c>
      <c r="H198" t="s">
        <v>92</v>
      </c>
      <c r="J198">
        <v>50.865000000000002</v>
      </c>
      <c r="K198">
        <v>6.9855999999999998</v>
      </c>
      <c r="L198" t="s">
        <v>4</v>
      </c>
      <c r="M198">
        <v>0</v>
      </c>
      <c r="N198">
        <v>0</v>
      </c>
      <c r="O198">
        <v>0</v>
      </c>
      <c r="P198">
        <v>0.30266700000000002</v>
      </c>
      <c r="Q198">
        <v>0.60533300000000001</v>
      </c>
      <c r="R198">
        <v>0.90800000000000003</v>
      </c>
      <c r="S198">
        <v>0.90800000000000003</v>
      </c>
    </row>
    <row r="199" spans="1:19" x14ac:dyDescent="0.25">
      <c r="A199" t="s">
        <v>5</v>
      </c>
      <c r="B199" t="s">
        <v>88</v>
      </c>
      <c r="C199" t="s">
        <v>89</v>
      </c>
      <c r="D199" t="s">
        <v>3</v>
      </c>
      <c r="E199" t="s">
        <v>284</v>
      </c>
      <c r="F199" t="s">
        <v>285</v>
      </c>
      <c r="G199" t="s">
        <v>380</v>
      </c>
      <c r="H199" t="s">
        <v>92</v>
      </c>
      <c r="J199">
        <v>51.105899999999998</v>
      </c>
      <c r="K199">
        <v>6.8810000000000002</v>
      </c>
      <c r="L199" t="s">
        <v>4</v>
      </c>
      <c r="M199">
        <v>0</v>
      </c>
      <c r="N199">
        <v>0</v>
      </c>
      <c r="O199">
        <v>0</v>
      </c>
      <c r="P199">
        <v>0.36199999999999999</v>
      </c>
      <c r="Q199">
        <v>0.72399999999999998</v>
      </c>
      <c r="R199">
        <v>1.0860000000000001</v>
      </c>
      <c r="S199">
        <v>1.0860000000000001</v>
      </c>
    </row>
    <row r="200" spans="1:19" x14ac:dyDescent="0.25">
      <c r="A200" t="s">
        <v>5</v>
      </c>
      <c r="B200" t="s">
        <v>88</v>
      </c>
      <c r="C200" t="s">
        <v>89</v>
      </c>
      <c r="D200" t="s">
        <v>3</v>
      </c>
      <c r="E200" t="s">
        <v>286</v>
      </c>
      <c r="F200" t="s">
        <v>287</v>
      </c>
      <c r="G200" t="s">
        <v>378</v>
      </c>
      <c r="H200" t="s">
        <v>92</v>
      </c>
      <c r="J200">
        <v>51.039900000000003</v>
      </c>
      <c r="K200">
        <v>6.992</v>
      </c>
      <c r="L200" t="s">
        <v>4</v>
      </c>
      <c r="M200">
        <v>0</v>
      </c>
      <c r="N200">
        <v>0</v>
      </c>
      <c r="O200">
        <v>0</v>
      </c>
      <c r="P200">
        <v>0.283333</v>
      </c>
      <c r="Q200">
        <v>0.56666700000000003</v>
      </c>
      <c r="R200">
        <v>0.85</v>
      </c>
      <c r="S200">
        <v>0.85</v>
      </c>
    </row>
    <row r="201" spans="1:19" x14ac:dyDescent="0.25">
      <c r="A201" t="s">
        <v>5</v>
      </c>
      <c r="B201" t="s">
        <v>88</v>
      </c>
      <c r="C201" t="s">
        <v>89</v>
      </c>
      <c r="D201" t="s">
        <v>3</v>
      </c>
      <c r="E201" t="s">
        <v>280</v>
      </c>
      <c r="F201" t="s">
        <v>281</v>
      </c>
      <c r="G201" t="s">
        <v>378</v>
      </c>
      <c r="H201" t="s">
        <v>92</v>
      </c>
      <c r="J201">
        <v>50.832700000000003</v>
      </c>
      <c r="K201">
        <v>6.9635999999999996</v>
      </c>
      <c r="L201" t="s">
        <v>4</v>
      </c>
      <c r="M201">
        <v>0</v>
      </c>
      <c r="N201">
        <v>0</v>
      </c>
      <c r="O201">
        <v>0</v>
      </c>
      <c r="P201">
        <v>0.189667</v>
      </c>
      <c r="Q201">
        <v>0.37933299999999998</v>
      </c>
      <c r="R201">
        <v>0.56899999999999995</v>
      </c>
      <c r="S201">
        <v>0.56899999999999995</v>
      </c>
    </row>
    <row r="202" spans="1:19" x14ac:dyDescent="0.25">
      <c r="A202" t="s">
        <v>5</v>
      </c>
      <c r="B202" t="s">
        <v>88</v>
      </c>
      <c r="C202" t="s">
        <v>89</v>
      </c>
      <c r="D202" t="s">
        <v>3</v>
      </c>
      <c r="E202" t="s">
        <v>280</v>
      </c>
      <c r="F202" t="s">
        <v>281</v>
      </c>
      <c r="G202" t="s">
        <v>376</v>
      </c>
      <c r="H202" t="s">
        <v>92</v>
      </c>
      <c r="J202">
        <v>50.832700000000003</v>
      </c>
      <c r="K202">
        <v>6.9635999999999996</v>
      </c>
      <c r="L202" t="s">
        <v>4</v>
      </c>
      <c r="M202">
        <v>0</v>
      </c>
      <c r="N202">
        <v>0</v>
      </c>
      <c r="O202">
        <v>0</v>
      </c>
      <c r="P202">
        <v>0.49833300000000003</v>
      </c>
      <c r="Q202">
        <v>0.99666699999999997</v>
      </c>
      <c r="R202">
        <v>1.4950000000000001</v>
      </c>
      <c r="S202">
        <v>1.4950000000000001</v>
      </c>
    </row>
    <row r="203" spans="1:19" x14ac:dyDescent="0.25">
      <c r="A203" t="s">
        <v>5</v>
      </c>
      <c r="B203" t="s">
        <v>88</v>
      </c>
      <c r="C203" t="s">
        <v>89</v>
      </c>
      <c r="D203" t="s">
        <v>3</v>
      </c>
      <c r="E203" t="s">
        <v>280</v>
      </c>
      <c r="F203" t="s">
        <v>281</v>
      </c>
      <c r="G203" t="s">
        <v>380</v>
      </c>
      <c r="H203" t="s">
        <v>92</v>
      </c>
      <c r="J203">
        <v>50.832700000000003</v>
      </c>
      <c r="K203">
        <v>6.9635999999999996</v>
      </c>
      <c r="L203" t="s">
        <v>4</v>
      </c>
      <c r="M203">
        <v>0</v>
      </c>
      <c r="N203">
        <v>0</v>
      </c>
      <c r="O203">
        <v>0</v>
      </c>
      <c r="P203">
        <v>0.29799999999999999</v>
      </c>
      <c r="Q203">
        <v>0.59599999999999997</v>
      </c>
      <c r="R203">
        <v>0.89400000000000002</v>
      </c>
      <c r="S203">
        <v>0.89400000000000002</v>
      </c>
    </row>
    <row r="204" spans="1:19" x14ac:dyDescent="0.25">
      <c r="A204" t="s">
        <v>5</v>
      </c>
      <c r="B204" t="s">
        <v>88</v>
      </c>
      <c r="C204" t="s">
        <v>89</v>
      </c>
      <c r="D204" t="s">
        <v>3</v>
      </c>
      <c r="E204" t="s">
        <v>387</v>
      </c>
      <c r="F204" t="s">
        <v>388</v>
      </c>
      <c r="G204" t="s">
        <v>376</v>
      </c>
      <c r="H204" t="s">
        <v>92</v>
      </c>
      <c r="J204">
        <v>51.572071000000001</v>
      </c>
      <c r="K204">
        <v>7.0358150000000004</v>
      </c>
      <c r="L204" t="s">
        <v>4</v>
      </c>
      <c r="M204">
        <v>0</v>
      </c>
      <c r="N204">
        <v>0</v>
      </c>
      <c r="O204">
        <v>0</v>
      </c>
      <c r="P204">
        <v>1.007333</v>
      </c>
      <c r="Q204">
        <v>2.0146670000000002</v>
      </c>
      <c r="R204">
        <v>3.0219999999999998</v>
      </c>
      <c r="S204">
        <v>3.0219999999999998</v>
      </c>
    </row>
    <row r="205" spans="1:19" x14ac:dyDescent="0.25">
      <c r="A205" t="s">
        <v>5</v>
      </c>
      <c r="B205" t="s">
        <v>88</v>
      </c>
      <c r="C205" t="s">
        <v>89</v>
      </c>
      <c r="D205" t="s">
        <v>3</v>
      </c>
      <c r="E205" t="s">
        <v>299</v>
      </c>
      <c r="F205" t="s">
        <v>389</v>
      </c>
      <c r="G205" t="s">
        <v>378</v>
      </c>
      <c r="H205" t="s">
        <v>92</v>
      </c>
      <c r="J205">
        <v>51.664999999999999</v>
      </c>
      <c r="K205">
        <v>7.1311</v>
      </c>
      <c r="L205" t="s">
        <v>4</v>
      </c>
      <c r="M205">
        <v>0</v>
      </c>
      <c r="N205">
        <v>0</v>
      </c>
      <c r="O205">
        <v>0</v>
      </c>
      <c r="P205">
        <v>0.39066699999999999</v>
      </c>
      <c r="Q205">
        <v>0.78133300000000006</v>
      </c>
      <c r="R205">
        <v>1.1719999999999999</v>
      </c>
      <c r="S205">
        <v>1.1719999999999999</v>
      </c>
    </row>
    <row r="206" spans="1:19" x14ac:dyDescent="0.25">
      <c r="A206" t="s">
        <v>5</v>
      </c>
      <c r="B206" t="s">
        <v>88</v>
      </c>
      <c r="C206" t="s">
        <v>89</v>
      </c>
      <c r="D206" t="s">
        <v>3</v>
      </c>
      <c r="E206" t="s">
        <v>242</v>
      </c>
      <c r="F206" t="s">
        <v>243</v>
      </c>
      <c r="G206" t="s">
        <v>378</v>
      </c>
      <c r="H206" t="s">
        <v>92</v>
      </c>
      <c r="J206">
        <v>49.508099999999999</v>
      </c>
      <c r="K206">
        <v>8.4046000000000003</v>
      </c>
      <c r="L206" t="s">
        <v>4</v>
      </c>
      <c r="M206">
        <v>0</v>
      </c>
      <c r="N206">
        <v>0</v>
      </c>
      <c r="O206">
        <v>0</v>
      </c>
      <c r="P206">
        <v>1.2829999999999999</v>
      </c>
      <c r="Q206">
        <v>2.5659999999999998</v>
      </c>
      <c r="R206">
        <v>3.8490000000000002</v>
      </c>
      <c r="S206">
        <v>3.8490000000000002</v>
      </c>
    </row>
    <row r="207" spans="1:19" x14ac:dyDescent="0.25">
      <c r="A207" t="s">
        <v>5</v>
      </c>
      <c r="B207" t="s">
        <v>88</v>
      </c>
      <c r="C207" t="s">
        <v>89</v>
      </c>
      <c r="D207" t="s">
        <v>3</v>
      </c>
      <c r="E207" t="s">
        <v>242</v>
      </c>
      <c r="F207" t="s">
        <v>243</v>
      </c>
      <c r="G207" t="s">
        <v>380</v>
      </c>
      <c r="H207" t="s">
        <v>92</v>
      </c>
      <c r="J207">
        <v>49.508099999999999</v>
      </c>
      <c r="K207">
        <v>8.4046000000000003</v>
      </c>
      <c r="L207" t="s">
        <v>4</v>
      </c>
      <c r="M207">
        <v>0</v>
      </c>
      <c r="N207">
        <v>0</v>
      </c>
      <c r="O207">
        <v>0</v>
      </c>
      <c r="P207">
        <v>0.190333</v>
      </c>
      <c r="Q207">
        <v>0.38066699999999998</v>
      </c>
      <c r="R207">
        <v>0.57099999999999995</v>
      </c>
      <c r="S207">
        <v>0.57099999999999995</v>
      </c>
    </row>
    <row r="208" spans="1:19" x14ac:dyDescent="0.25">
      <c r="A208" t="s">
        <v>5</v>
      </c>
      <c r="B208" t="s">
        <v>88</v>
      </c>
      <c r="C208" t="s">
        <v>89</v>
      </c>
      <c r="D208" t="s">
        <v>3</v>
      </c>
      <c r="E208" t="s">
        <v>390</v>
      </c>
      <c r="F208" t="s">
        <v>391</v>
      </c>
      <c r="G208" t="s">
        <v>380</v>
      </c>
      <c r="H208" t="s">
        <v>92</v>
      </c>
      <c r="J208">
        <v>51.207000000000001</v>
      </c>
      <c r="K208">
        <v>12.391</v>
      </c>
      <c r="L208" t="s">
        <v>4</v>
      </c>
      <c r="M208">
        <v>0</v>
      </c>
      <c r="N208">
        <v>0</v>
      </c>
      <c r="O208">
        <v>0</v>
      </c>
      <c r="P208">
        <v>0.27066699999999999</v>
      </c>
      <c r="Q208">
        <v>0.54133299999999995</v>
      </c>
      <c r="R208">
        <v>0.81200000000000006</v>
      </c>
      <c r="S208">
        <v>0.81200000000000006</v>
      </c>
    </row>
    <row r="209" spans="1:19" x14ac:dyDescent="0.25">
      <c r="A209" t="s">
        <v>5</v>
      </c>
      <c r="B209" t="s">
        <v>88</v>
      </c>
      <c r="C209" t="s">
        <v>89</v>
      </c>
      <c r="D209" t="s">
        <v>3</v>
      </c>
      <c r="E209" t="s">
        <v>322</v>
      </c>
      <c r="F209" t="s">
        <v>323</v>
      </c>
      <c r="G209" t="s">
        <v>378</v>
      </c>
      <c r="H209" t="s">
        <v>92</v>
      </c>
      <c r="J209">
        <v>51.317900000000002</v>
      </c>
      <c r="K209">
        <v>12.005000000000001</v>
      </c>
      <c r="L209" t="s">
        <v>4</v>
      </c>
      <c r="M209">
        <v>0</v>
      </c>
      <c r="N209">
        <v>0</v>
      </c>
      <c r="O209">
        <v>0</v>
      </c>
      <c r="P209">
        <v>0.526667</v>
      </c>
      <c r="Q209">
        <v>1.0533330000000001</v>
      </c>
      <c r="R209">
        <v>1.58</v>
      </c>
      <c r="S209">
        <v>1.58</v>
      </c>
    </row>
    <row r="210" spans="1:19" x14ac:dyDescent="0.25">
      <c r="A210" t="s">
        <v>5</v>
      </c>
      <c r="B210" t="s">
        <v>88</v>
      </c>
      <c r="C210" t="s">
        <v>89</v>
      </c>
      <c r="D210" t="s">
        <v>3</v>
      </c>
      <c r="E210" t="s">
        <v>322</v>
      </c>
      <c r="F210" t="s">
        <v>323</v>
      </c>
      <c r="G210" t="s">
        <v>376</v>
      </c>
      <c r="H210" t="s">
        <v>92</v>
      </c>
      <c r="J210">
        <v>51.317900000000002</v>
      </c>
      <c r="K210">
        <v>12.005000000000001</v>
      </c>
      <c r="L210" t="s">
        <v>4</v>
      </c>
      <c r="M210">
        <v>0</v>
      </c>
      <c r="N210">
        <v>0</v>
      </c>
      <c r="O210">
        <v>0</v>
      </c>
      <c r="P210">
        <v>0.42433300000000002</v>
      </c>
      <c r="Q210">
        <v>0.84866699999999995</v>
      </c>
      <c r="R210">
        <v>1.2729999999999999</v>
      </c>
      <c r="S210">
        <v>1.2729999999999999</v>
      </c>
    </row>
    <row r="211" spans="1:19" x14ac:dyDescent="0.25">
      <c r="A211" t="s">
        <v>5</v>
      </c>
      <c r="B211" t="s">
        <v>88</v>
      </c>
      <c r="C211" t="s">
        <v>89</v>
      </c>
      <c r="D211" t="s">
        <v>3</v>
      </c>
      <c r="E211" t="s">
        <v>392</v>
      </c>
      <c r="F211" t="s">
        <v>393</v>
      </c>
      <c r="G211" t="s">
        <v>378</v>
      </c>
      <c r="H211" t="s">
        <v>92</v>
      </c>
      <c r="J211">
        <v>53.901299999999999</v>
      </c>
      <c r="K211">
        <v>9.1219000000000001</v>
      </c>
      <c r="L211" t="s">
        <v>4</v>
      </c>
      <c r="M211">
        <v>0</v>
      </c>
      <c r="N211">
        <v>0</v>
      </c>
      <c r="O211">
        <v>0</v>
      </c>
      <c r="P211">
        <v>9.2999999999999999E-2</v>
      </c>
      <c r="Q211">
        <v>0.186</v>
      </c>
      <c r="R211">
        <v>0.27900000000000003</v>
      </c>
      <c r="S211">
        <v>0.27900000000000003</v>
      </c>
    </row>
    <row r="212" spans="1:19" x14ac:dyDescent="0.25">
      <c r="A212" t="s">
        <v>5</v>
      </c>
      <c r="B212" t="s">
        <v>88</v>
      </c>
      <c r="C212" t="s">
        <v>89</v>
      </c>
      <c r="D212" t="s">
        <v>3</v>
      </c>
      <c r="E212" t="s">
        <v>392</v>
      </c>
      <c r="F212" t="s">
        <v>393</v>
      </c>
      <c r="G212" t="s">
        <v>376</v>
      </c>
      <c r="H212" t="s">
        <v>92</v>
      </c>
      <c r="J212">
        <v>53.983279000000003</v>
      </c>
      <c r="K212">
        <v>9.0984610000000004</v>
      </c>
      <c r="L212" t="s">
        <v>4</v>
      </c>
      <c r="M212">
        <v>0</v>
      </c>
      <c r="N212">
        <v>0</v>
      </c>
      <c r="O212">
        <v>0</v>
      </c>
      <c r="P212">
        <v>0.62866699999999998</v>
      </c>
      <c r="Q212">
        <v>1.257333</v>
      </c>
      <c r="R212">
        <v>1.8859999999999999</v>
      </c>
      <c r="S212">
        <v>1.8859999999999999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workbookViewId="0">
      <selection activeCell="K30" sqref="D3:K30"/>
    </sheetView>
  </sheetViews>
  <sheetFormatPr baseColWidth="10" defaultRowHeight="15" x14ac:dyDescent="0.25"/>
  <cols>
    <col min="1" max="1" width="16.28515625" customWidth="1"/>
    <col min="2" max="2" width="13.7109375" customWidth="1"/>
    <col min="3" max="3" width="20.7109375" bestFit="1" customWidth="1"/>
    <col min="10" max="10" width="12.7109375" bestFit="1" customWidth="1"/>
  </cols>
  <sheetData>
    <row r="1" spans="1:11" ht="15" customHeight="1" x14ac:dyDescent="0.25">
      <c r="A1" t="s">
        <v>72</v>
      </c>
      <c r="B1" t="s">
        <v>73</v>
      </c>
      <c r="C1" t="s">
        <v>11</v>
      </c>
      <c r="D1" t="s">
        <v>74</v>
      </c>
      <c r="E1" s="2">
        <v>2021</v>
      </c>
      <c r="F1" s="2">
        <v>2025</v>
      </c>
      <c r="G1" s="2">
        <v>2030</v>
      </c>
      <c r="H1" s="2">
        <v>2035</v>
      </c>
      <c r="I1" s="2">
        <v>2040</v>
      </c>
      <c r="J1" s="2">
        <v>2045</v>
      </c>
      <c r="K1" s="2">
        <v>2050</v>
      </c>
    </row>
    <row r="2" spans="1:11" x14ac:dyDescent="0.25">
      <c r="A2">
        <v>48.653686829999998</v>
      </c>
      <c r="B2">
        <v>10.16246767</v>
      </c>
      <c r="C2" s="11">
        <v>272877.7</v>
      </c>
      <c r="D2" s="3">
        <f t="shared" ref="D2:D31" si="0">C2/$C$32</f>
        <v>3.0371541421131572E-2</v>
      </c>
      <c r="E2" s="12">
        <f>$D2*'Process-emission_LFS'!C$2</f>
        <v>0.41305296332738939</v>
      </c>
      <c r="F2" s="12">
        <f>$D2*'Process-emission_LFS'!D$2</f>
        <v>0.36142134291146572</v>
      </c>
      <c r="G2" s="12">
        <f>$D2*'Process-emission_LFS'!E$2</f>
        <v>0.39179288433259729</v>
      </c>
      <c r="H2" s="12">
        <f>$D2*'Process-emission_LFS'!F$2</f>
        <v>0.35838418876935257</v>
      </c>
      <c r="I2" s="12">
        <f>$D2*'Process-emission_LFS'!G$2</f>
        <v>0.328012647348221</v>
      </c>
      <c r="J2" s="12">
        <f>$D2*'Process-emission_LFS'!H$2</f>
        <v>0.29460395178497623</v>
      </c>
      <c r="K2" s="12"/>
    </row>
    <row r="3" spans="1:11" x14ac:dyDescent="0.25">
      <c r="A3">
        <v>49.357679390000001</v>
      </c>
      <c r="B3">
        <v>8.6858323980000005</v>
      </c>
      <c r="C3" s="11">
        <v>253081.0471</v>
      </c>
      <c r="D3" s="3">
        <f t="shared" si="0"/>
        <v>2.8168155568963679E-2</v>
      </c>
      <c r="E3" s="12">
        <f>$D3*'Process-emission_LFS'!C$2</f>
        <v>0.38308691573790604</v>
      </c>
      <c r="F3" s="12">
        <f>$D3*'Process-emission_LFS'!C$2</f>
        <v>0.38308691573790604</v>
      </c>
      <c r="G3" s="12">
        <f>$D3*'Process-emission_LFS'!D$2</f>
        <v>0.33520105127066779</v>
      </c>
      <c r="H3" s="12">
        <f>$D3*'Process-emission_LFS'!E$2</f>
        <v>0.36336920683963148</v>
      </c>
      <c r="I3" s="12">
        <f>$D3*'Process-emission_LFS'!F$2</f>
        <v>0.3323842357137714</v>
      </c>
      <c r="J3" s="12">
        <f>$D3*'Process-emission_LFS'!G$2</f>
        <v>0.30421608014480772</v>
      </c>
      <c r="K3" s="12"/>
    </row>
    <row r="4" spans="1:11" x14ac:dyDescent="0.25">
      <c r="A4">
        <v>49.018412980000001</v>
      </c>
      <c r="B4">
        <v>8.6124897310000001</v>
      </c>
      <c r="C4" s="11">
        <v>237671.02499999999</v>
      </c>
      <c r="D4" s="3">
        <f t="shared" si="0"/>
        <v>2.6453005798532811E-2</v>
      </c>
      <c r="E4" s="12">
        <f>$D4*'Process-emission_LFS'!C$2</f>
        <v>0.35976087886004621</v>
      </c>
      <c r="F4" s="12">
        <f>$D4*'Process-emission_LFS'!C$2</f>
        <v>0.35976087886004621</v>
      </c>
      <c r="G4" s="12">
        <f>$D4*'Process-emission_LFS'!D$2</f>
        <v>0.31479076900254044</v>
      </c>
      <c r="H4" s="12">
        <f>$D4*'Process-emission_LFS'!E$2</f>
        <v>0.34124377480107326</v>
      </c>
      <c r="I4" s="12">
        <f>$D4*'Process-emission_LFS'!F$2</f>
        <v>0.3121454684226872</v>
      </c>
      <c r="J4" s="12">
        <f>$D4*'Process-emission_LFS'!G$2</f>
        <v>0.28569246262415438</v>
      </c>
      <c r="K4" s="12"/>
    </row>
    <row r="5" spans="1:11" x14ac:dyDescent="0.25">
      <c r="A5">
        <v>48.331986280000002</v>
      </c>
      <c r="B5">
        <v>9.7304687479999998</v>
      </c>
      <c r="C5" s="11">
        <v>299124.82169999997</v>
      </c>
      <c r="D5" s="3">
        <f t="shared" si="0"/>
        <v>3.3292870441044266E-2</v>
      </c>
      <c r="E5" s="12">
        <f>$D5*'Process-emission_LFS'!C$2</f>
        <v>0.45278303799820202</v>
      </c>
      <c r="F5" s="12">
        <f>$D5*'Process-emission_LFS'!C$2</f>
        <v>0.45278303799820202</v>
      </c>
      <c r="G5" s="12">
        <f>$D5*'Process-emission_LFS'!D$2</f>
        <v>0.39618515824842676</v>
      </c>
      <c r="H5" s="12">
        <f>$D5*'Process-emission_LFS'!E$2</f>
        <v>0.42947802868947105</v>
      </c>
      <c r="I5" s="12">
        <f>$D5*'Process-emission_LFS'!F$2</f>
        <v>0.39285587120432236</v>
      </c>
      <c r="J5" s="12">
        <f>$D5*'Process-emission_LFS'!G$2</f>
        <v>0.35956300076327807</v>
      </c>
      <c r="K5" s="12"/>
    </row>
    <row r="6" spans="1:11" x14ac:dyDescent="0.25">
      <c r="A6">
        <v>48.368603120000003</v>
      </c>
      <c r="B6">
        <v>9.7346784</v>
      </c>
      <c r="C6" s="11">
        <v>401565.69760000001</v>
      </c>
      <c r="D6" s="3">
        <f t="shared" si="0"/>
        <v>4.4694635061655809E-2</v>
      </c>
      <c r="E6" s="12">
        <f>$D6*'Process-emission_LFS'!C$2</f>
        <v>0.60784703683851904</v>
      </c>
      <c r="F6" s="12">
        <f>$D6*'Process-emission_LFS'!C$2</f>
        <v>0.60784703683851904</v>
      </c>
      <c r="G6" s="12">
        <f>$D6*'Process-emission_LFS'!D$2</f>
        <v>0.53186615723370412</v>
      </c>
      <c r="H6" s="12">
        <f>$D6*'Process-emission_LFS'!E$2</f>
        <v>0.57656079229535995</v>
      </c>
      <c r="I6" s="12">
        <f>$D6*'Process-emission_LFS'!F$2</f>
        <v>0.52739669372753861</v>
      </c>
      <c r="J6" s="12">
        <f>$D6*'Process-emission_LFS'!G$2</f>
        <v>0.48270205866588278</v>
      </c>
      <c r="K6" s="12"/>
    </row>
    <row r="7" spans="1:11" x14ac:dyDescent="0.25">
      <c r="A7">
        <v>48.227041210000003</v>
      </c>
      <c r="B7">
        <v>8.7790961079999992</v>
      </c>
      <c r="C7" s="11">
        <v>347689.87270000001</v>
      </c>
      <c r="D7" s="3">
        <f t="shared" si="0"/>
        <v>3.8698205717858272E-2</v>
      </c>
      <c r="E7" s="12">
        <f>$D7*'Process-emission_LFS'!C$2</f>
        <v>0.52629559776287249</v>
      </c>
      <c r="F7" s="12">
        <f>$D7*'Process-emission_LFS'!C$2</f>
        <v>0.52629559776287249</v>
      </c>
      <c r="G7" s="12">
        <f>$D7*'Process-emission_LFS'!D$2</f>
        <v>0.46050864804251346</v>
      </c>
      <c r="H7" s="12">
        <f>$D7*'Process-emission_LFS'!E$2</f>
        <v>0.49920685376037172</v>
      </c>
      <c r="I7" s="12">
        <f>$D7*'Process-emission_LFS'!F$2</f>
        <v>0.45663882747072765</v>
      </c>
      <c r="J7" s="12">
        <f>$D7*'Process-emission_LFS'!G$2</f>
        <v>0.41794062175286939</v>
      </c>
      <c r="K7" s="12"/>
    </row>
    <row r="8" spans="1:11" x14ac:dyDescent="0.25">
      <c r="A8">
        <v>53.874164919999998</v>
      </c>
      <c r="B8">
        <v>9.5832685959999999</v>
      </c>
      <c r="C8" s="11">
        <v>522618.1777</v>
      </c>
      <c r="D8" s="3">
        <f t="shared" si="0"/>
        <v>5.8167888513615623E-2</v>
      </c>
      <c r="E8" s="12">
        <f>$D8*'Process-emission_LFS'!C$2</f>
        <v>0.79108328378517245</v>
      </c>
      <c r="F8" s="12">
        <f>$D8*'Process-emission_LFS'!C$2</f>
        <v>0.79108328378517245</v>
      </c>
      <c r="G8" s="12">
        <f>$D8*'Process-emission_LFS'!D$2</f>
        <v>0.69219787331202598</v>
      </c>
      <c r="H8" s="12">
        <f>$D8*'Process-emission_LFS'!E$2</f>
        <v>0.75036576182564152</v>
      </c>
      <c r="I8" s="12">
        <f>$D8*'Process-emission_LFS'!F$2</f>
        <v>0.68638108446066437</v>
      </c>
      <c r="J8" s="12">
        <f>$D8*'Process-emission_LFS'!G$2</f>
        <v>0.62821319594704872</v>
      </c>
      <c r="K8" s="12"/>
    </row>
    <row r="9" spans="1:11" x14ac:dyDescent="0.25">
      <c r="A9">
        <v>52.349831299999998</v>
      </c>
      <c r="B9">
        <v>9.8859338710000007</v>
      </c>
      <c r="C9" s="11">
        <v>308027.31709999999</v>
      </c>
      <c r="D9" s="3">
        <f t="shared" si="0"/>
        <v>3.4283726446472831E-2</v>
      </c>
      <c r="E9" s="12">
        <f>$D9*'Process-emission_LFS'!C$2</f>
        <v>0.4662586796720305</v>
      </c>
      <c r="F9" s="12">
        <f>$D9*'Process-emission_LFS'!C$2</f>
        <v>0.4662586796720305</v>
      </c>
      <c r="G9" s="12">
        <f>$D9*'Process-emission_LFS'!D$2</f>
        <v>0.40797634471302668</v>
      </c>
      <c r="H9" s="12">
        <f>$D9*'Process-emission_LFS'!E$2</f>
        <v>0.44226007115949956</v>
      </c>
      <c r="I9" s="12">
        <f>$D9*'Process-emission_LFS'!F$2</f>
        <v>0.40454797206837945</v>
      </c>
      <c r="J9" s="12">
        <f>$D9*'Process-emission_LFS'!G$2</f>
        <v>0.37026424562190663</v>
      </c>
      <c r="K9" s="12"/>
    </row>
    <row r="10" spans="1:11" x14ac:dyDescent="0.25">
      <c r="A10">
        <v>51.765173730000001</v>
      </c>
      <c r="B10">
        <v>8.0540287880000001</v>
      </c>
      <c r="C10" s="11">
        <v>271633.64270000003</v>
      </c>
      <c r="D10" s="3">
        <f t="shared" si="0"/>
        <v>3.023307668833292E-2</v>
      </c>
      <c r="E10" s="12">
        <f>$D10*'Process-emission_LFS'!C$2</f>
        <v>0.41116984296132769</v>
      </c>
      <c r="F10" s="12">
        <f>$D10*'Process-emission_LFS'!C$2</f>
        <v>0.41116984296132769</v>
      </c>
      <c r="G10" s="12">
        <f>$D10*'Process-emission_LFS'!D$2</f>
        <v>0.35977361259116175</v>
      </c>
      <c r="H10" s="12">
        <f>$D10*'Process-emission_LFS'!E$2</f>
        <v>0.39000668927949467</v>
      </c>
      <c r="I10" s="12">
        <f>$D10*'Process-emission_LFS'!F$2</f>
        <v>0.35675030492232845</v>
      </c>
      <c r="J10" s="12">
        <f>$D10*'Process-emission_LFS'!G$2</f>
        <v>0.32651722823399554</v>
      </c>
      <c r="K10" s="12"/>
    </row>
    <row r="11" spans="1:11" x14ac:dyDescent="0.25">
      <c r="A11">
        <v>52.174985890000002</v>
      </c>
      <c r="B11">
        <v>7.8878276410000003</v>
      </c>
      <c r="C11" s="11">
        <v>515359.63250000001</v>
      </c>
      <c r="D11" s="3">
        <f t="shared" si="0"/>
        <v>5.7360005692121033E-2</v>
      </c>
      <c r="E11" s="12">
        <f>$D11*'Process-emission_LFS'!C$2</f>
        <v>0.78009607741284603</v>
      </c>
      <c r="F11" s="12">
        <f>$D11*'Process-emission_LFS'!C$2</f>
        <v>0.78009607741284603</v>
      </c>
      <c r="G11" s="12">
        <f>$D11*'Process-emission_LFS'!D$2</f>
        <v>0.68258406773624036</v>
      </c>
      <c r="H11" s="12">
        <f>$D11*'Process-emission_LFS'!E$2</f>
        <v>0.73994407342836133</v>
      </c>
      <c r="I11" s="12">
        <f>$D11*'Process-emission_LFS'!F$2</f>
        <v>0.67684806716702828</v>
      </c>
      <c r="J11" s="12">
        <f>$D11*'Process-emission_LFS'!G$2</f>
        <v>0.6194880614749072</v>
      </c>
      <c r="K11" s="12"/>
    </row>
    <row r="12" spans="1:11" x14ac:dyDescent="0.25">
      <c r="A12">
        <v>51.698988470000003</v>
      </c>
      <c r="B12">
        <v>8.7470409070000006</v>
      </c>
      <c r="C12" s="11">
        <v>107985.2457</v>
      </c>
      <c r="D12" s="3">
        <f t="shared" si="0"/>
        <v>1.2018858128196697E-2</v>
      </c>
      <c r="E12" s="12">
        <f>$D12*'Process-emission_LFS'!C$2</f>
        <v>0.16345647054347506</v>
      </c>
      <c r="F12" s="12">
        <f>$D12*'Process-emission_LFS'!C$2</f>
        <v>0.16345647054347506</v>
      </c>
      <c r="G12" s="12">
        <f>$D12*'Process-emission_LFS'!D$2</f>
        <v>0.1430244117255407</v>
      </c>
      <c r="H12" s="12">
        <f>$D12*'Process-emission_LFS'!E$2</f>
        <v>0.1550432698537374</v>
      </c>
      <c r="I12" s="12">
        <f>$D12*'Process-emission_LFS'!F$2</f>
        <v>0.14182252591272104</v>
      </c>
      <c r="J12" s="12">
        <f>$D12*'Process-emission_LFS'!G$2</f>
        <v>0.12980366778452435</v>
      </c>
      <c r="K12" s="12"/>
    </row>
    <row r="13" spans="1:11" x14ac:dyDescent="0.25">
      <c r="A13">
        <v>51.62256052</v>
      </c>
      <c r="B13">
        <v>8.5043928809999993</v>
      </c>
      <c r="C13" s="11">
        <v>124209.6839</v>
      </c>
      <c r="D13" s="3">
        <f t="shared" si="0"/>
        <v>1.3824653166874791E-2</v>
      </c>
      <c r="E13" s="12">
        <f>$D13*'Process-emission_LFS'!C$2</f>
        <v>0.18801528306949716</v>
      </c>
      <c r="F13" s="12">
        <f>$D13*'Process-emission_LFS'!C$2</f>
        <v>0.18801528306949716</v>
      </c>
      <c r="G13" s="12">
        <f>$D13*'Process-emission_LFS'!D$2</f>
        <v>0.16451337268581001</v>
      </c>
      <c r="H13" s="12">
        <f>$D13*'Process-emission_LFS'!E$2</f>
        <v>0.17833802585268482</v>
      </c>
      <c r="I13" s="12">
        <f>$D13*'Process-emission_LFS'!F$2</f>
        <v>0.16313090736912256</v>
      </c>
      <c r="J13" s="12">
        <f>$D13*'Process-emission_LFS'!G$2</f>
        <v>0.14930625420224775</v>
      </c>
      <c r="K13" s="12"/>
    </row>
    <row r="14" spans="1:11" x14ac:dyDescent="0.25">
      <c r="A14">
        <v>51.597210140000001</v>
      </c>
      <c r="B14">
        <v>8.3346819449999998</v>
      </c>
      <c r="C14" s="11">
        <v>186309.64920000001</v>
      </c>
      <c r="D14" s="3">
        <f t="shared" si="0"/>
        <v>2.0736436974638429E-2</v>
      </c>
      <c r="E14" s="12">
        <f>$D14*'Process-emission_LFS'!C$2</f>
        <v>0.28201554285508262</v>
      </c>
      <c r="F14" s="12">
        <f>$D14*'Process-emission_LFS'!C$2</f>
        <v>0.28201554285508262</v>
      </c>
      <c r="G14" s="12">
        <f>$D14*'Process-emission_LFS'!D$2</f>
        <v>0.24676359999819733</v>
      </c>
      <c r="H14" s="12">
        <f>$D14*'Process-emission_LFS'!E$2</f>
        <v>0.26750003697283575</v>
      </c>
      <c r="I14" s="12">
        <f>$D14*'Process-emission_LFS'!F$2</f>
        <v>0.24468995630073348</v>
      </c>
      <c r="J14" s="12">
        <f>$D14*'Process-emission_LFS'!G$2</f>
        <v>0.22395351932609506</v>
      </c>
      <c r="K14" s="12"/>
    </row>
    <row r="15" spans="1:11" x14ac:dyDescent="0.25">
      <c r="A15">
        <v>51.594684739999998</v>
      </c>
      <c r="B15">
        <v>8.3349065200000005</v>
      </c>
      <c r="C15" s="11">
        <v>276107.0796</v>
      </c>
      <c r="D15" s="3">
        <f t="shared" si="0"/>
        <v>3.0730974369613463E-2</v>
      </c>
      <c r="E15" s="12">
        <f>$D15*'Process-emission_LFS'!C$2</f>
        <v>0.4179412514267431</v>
      </c>
      <c r="F15" s="12">
        <f>$D15*'Process-emission_LFS'!C$2</f>
        <v>0.4179412514267431</v>
      </c>
      <c r="G15" s="12">
        <f>$D15*'Process-emission_LFS'!D$2</f>
        <v>0.36569859499840024</v>
      </c>
      <c r="H15" s="12">
        <f>$D15*'Process-emission_LFS'!E$2</f>
        <v>0.39642956936801366</v>
      </c>
      <c r="I15" s="12">
        <f>$D15*'Process-emission_LFS'!F$2</f>
        <v>0.36262549756143886</v>
      </c>
      <c r="J15" s="12">
        <f>$D15*'Process-emission_LFS'!G$2</f>
        <v>0.33189452319182544</v>
      </c>
      <c r="K15" s="12"/>
    </row>
    <row r="16" spans="1:11" x14ac:dyDescent="0.25">
      <c r="A16">
        <v>51.601120729999998</v>
      </c>
      <c r="B16">
        <v>8.3361264300000002</v>
      </c>
      <c r="C16" s="11">
        <v>347151.96789999999</v>
      </c>
      <c r="D16" s="3">
        <f t="shared" si="0"/>
        <v>3.8638336414086559E-2</v>
      </c>
      <c r="E16" s="12">
        <f>$D16*'Process-emission_LFS'!C$2</f>
        <v>0.52548137523157723</v>
      </c>
      <c r="F16" s="12">
        <f>$D16*'Process-emission_LFS'!C$2</f>
        <v>0.52548137523157723</v>
      </c>
      <c r="G16" s="12">
        <f>$D16*'Process-emission_LFS'!D$2</f>
        <v>0.45979620332763005</v>
      </c>
      <c r="H16" s="12">
        <f>$D16*'Process-emission_LFS'!E$2</f>
        <v>0.49843453974171664</v>
      </c>
      <c r="I16" s="12">
        <f>$D16*'Process-emission_LFS'!F$2</f>
        <v>0.45593236968622142</v>
      </c>
      <c r="J16" s="12">
        <f>$D16*'Process-emission_LFS'!G$2</f>
        <v>0.41729403327213488</v>
      </c>
      <c r="K16" s="12"/>
    </row>
    <row r="17" spans="1:11" x14ac:dyDescent="0.25">
      <c r="A17">
        <v>50.031909560000003</v>
      </c>
      <c r="B17">
        <v>8.2570017539999991</v>
      </c>
      <c r="C17" s="11">
        <v>85098.687999999995</v>
      </c>
      <c r="D17" s="3">
        <f t="shared" si="0"/>
        <v>9.4715630023118492E-3</v>
      </c>
      <c r="E17" s="12">
        <f>$D17*'Process-emission_LFS'!C$2</f>
        <v>0.12881325683144115</v>
      </c>
      <c r="F17" s="12">
        <f>$D17*'Process-emission_LFS'!C$2</f>
        <v>0.12881325683144115</v>
      </c>
      <c r="G17" s="12">
        <f>$D17*'Process-emission_LFS'!D$2</f>
        <v>0.11271159972751101</v>
      </c>
      <c r="H17" s="12">
        <f>$D17*'Process-emission_LFS'!E$2</f>
        <v>0.12218316272982285</v>
      </c>
      <c r="I17" s="12">
        <f>$D17*'Process-emission_LFS'!F$2</f>
        <v>0.11176444342727983</v>
      </c>
      <c r="J17" s="12">
        <f>$D17*'Process-emission_LFS'!G$2</f>
        <v>0.10229288042496798</v>
      </c>
      <c r="K17" s="12"/>
    </row>
    <row r="18" spans="1:11" x14ac:dyDescent="0.25">
      <c r="A18">
        <v>50.584524440000003</v>
      </c>
      <c r="B18">
        <v>9.5095189270000002</v>
      </c>
      <c r="C18" s="11">
        <v>69056.152279999995</v>
      </c>
      <c r="D18" s="3">
        <f t="shared" si="0"/>
        <v>7.6860138785836635E-3</v>
      </c>
      <c r="E18" s="12">
        <f>$D18*'Process-emission_LFS'!C$2</f>
        <v>0.10452978874873782</v>
      </c>
      <c r="F18" s="12">
        <f>$D18*'Process-emission_LFS'!C$2</f>
        <v>0.10452978874873782</v>
      </c>
      <c r="G18" s="12">
        <f>$D18*'Process-emission_LFS'!D$2</f>
        <v>9.1463565155145601E-2</v>
      </c>
      <c r="H18" s="12">
        <f>$D18*'Process-emission_LFS'!E$2</f>
        <v>9.9149579033729257E-2</v>
      </c>
      <c r="I18" s="12">
        <f>$D18*'Process-emission_LFS'!F$2</f>
        <v>9.0694963767287237E-2</v>
      </c>
      <c r="J18" s="12">
        <f>$D18*'Process-emission_LFS'!G$2</f>
        <v>8.3008949888703568E-2</v>
      </c>
      <c r="K18" s="12"/>
    </row>
    <row r="19" spans="1:11" x14ac:dyDescent="0.25">
      <c r="A19">
        <v>50.333990059999998</v>
      </c>
      <c r="B19">
        <v>6.7668281370000001</v>
      </c>
      <c r="C19" s="11">
        <v>86934.294290000005</v>
      </c>
      <c r="D19" s="3">
        <f t="shared" si="0"/>
        <v>9.6758676870465302E-3</v>
      </c>
      <c r="E19" s="12">
        <f>$D19*'Process-emission_LFS'!C$2</f>
        <v>0.13159180054383282</v>
      </c>
      <c r="F19" s="12">
        <f>$D19*'Process-emission_LFS'!C$2</f>
        <v>0.13159180054383282</v>
      </c>
      <c r="G19" s="12">
        <f>$D19*'Process-emission_LFS'!D$2</f>
        <v>0.11514282547585371</v>
      </c>
      <c r="H19" s="12">
        <f>$D19*'Process-emission_LFS'!E$2</f>
        <v>0.12481869316290024</v>
      </c>
      <c r="I19" s="12">
        <f>$D19*'Process-emission_LFS'!F$2</f>
        <v>0.11417523870714906</v>
      </c>
      <c r="J19" s="12">
        <f>$D19*'Process-emission_LFS'!G$2</f>
        <v>0.10449937102010254</v>
      </c>
      <c r="K19" s="12"/>
    </row>
    <row r="20" spans="1:11" x14ac:dyDescent="0.25">
      <c r="A20">
        <v>49.601018850000003</v>
      </c>
      <c r="B20">
        <v>8.0413779420000004</v>
      </c>
      <c r="C20" s="11">
        <v>346457.5196</v>
      </c>
      <c r="D20" s="3">
        <f t="shared" si="0"/>
        <v>3.8561043673388862E-2</v>
      </c>
      <c r="E20" s="12">
        <f>$D20*'Process-emission_LFS'!C$2</f>
        <v>0.52443019395808854</v>
      </c>
      <c r="F20" s="12">
        <f>$D20*'Process-emission_LFS'!C$2</f>
        <v>0.52443019395808854</v>
      </c>
      <c r="G20" s="12">
        <f>$D20*'Process-emission_LFS'!D$2</f>
        <v>0.45887641971332749</v>
      </c>
      <c r="H20" s="12">
        <f>$D20*'Process-emission_LFS'!E$2</f>
        <v>0.49743746338671635</v>
      </c>
      <c r="I20" s="12">
        <f>$D20*'Process-emission_LFS'!F$2</f>
        <v>0.45502031534598858</v>
      </c>
      <c r="J20" s="12">
        <f>$D20*'Process-emission_LFS'!G$2</f>
        <v>0.41645927167259972</v>
      </c>
      <c r="K20" s="12"/>
    </row>
    <row r="21" spans="1:11" x14ac:dyDescent="0.25">
      <c r="A21">
        <v>47.790819620000001</v>
      </c>
      <c r="B21">
        <v>12.18159007</v>
      </c>
      <c r="C21" s="11">
        <v>370722.73269999999</v>
      </c>
      <c r="D21" s="3">
        <f t="shared" si="0"/>
        <v>4.126178442559849E-2</v>
      </c>
      <c r="E21" s="12">
        <f>$D21*'Process-emission_LFS'!C$2</f>
        <v>0.56116026818813947</v>
      </c>
      <c r="F21" s="12">
        <f>$D21*'Process-emission_LFS'!C$2</f>
        <v>0.56116026818813947</v>
      </c>
      <c r="G21" s="12">
        <f>$D21*'Process-emission_LFS'!D$2</f>
        <v>0.49101523466462205</v>
      </c>
      <c r="H21" s="12">
        <f>$D21*'Process-emission_LFS'!E$2</f>
        <v>0.53227701909022052</v>
      </c>
      <c r="I21" s="12">
        <f>$D21*'Process-emission_LFS'!F$2</f>
        <v>0.48688905622206219</v>
      </c>
      <c r="J21" s="12">
        <f>$D21*'Process-emission_LFS'!G$2</f>
        <v>0.44562727179646372</v>
      </c>
      <c r="K21" s="12"/>
    </row>
    <row r="22" spans="1:11" x14ac:dyDescent="0.25">
      <c r="A22">
        <v>49.21283244</v>
      </c>
      <c r="B22">
        <v>12.028256949999999</v>
      </c>
      <c r="C22" s="11">
        <v>430407.73450000002</v>
      </c>
      <c r="D22" s="3">
        <f t="shared" si="0"/>
        <v>4.7904780553127468E-2</v>
      </c>
      <c r="E22" s="12">
        <f>$D22*'Process-emission_LFS'!C$2</f>
        <v>0.65150501552253359</v>
      </c>
      <c r="F22" s="12">
        <f>$D22*'Process-emission_LFS'!C$2</f>
        <v>0.65150501552253359</v>
      </c>
      <c r="G22" s="12">
        <f>$D22*'Process-emission_LFS'!D$2</f>
        <v>0.57006688858221688</v>
      </c>
      <c r="H22" s="12">
        <f>$D22*'Process-emission_LFS'!E$2</f>
        <v>0.6179716691353444</v>
      </c>
      <c r="I22" s="12">
        <f>$D22*'Process-emission_LFS'!F$2</f>
        <v>0.56527641052690414</v>
      </c>
      <c r="J22" s="12">
        <f>$D22*'Process-emission_LFS'!G$2</f>
        <v>0.51737162997377673</v>
      </c>
      <c r="K22" s="12"/>
    </row>
    <row r="23" spans="1:11" x14ac:dyDescent="0.25">
      <c r="A23">
        <v>48.884912460000002</v>
      </c>
      <c r="B23">
        <v>10.99769729</v>
      </c>
      <c r="C23" s="11">
        <v>148898.19839999999</v>
      </c>
      <c r="D23" s="3">
        <f t="shared" si="0"/>
        <v>1.657250775800832E-2</v>
      </c>
      <c r="E23" s="12">
        <f>$D23*'Process-emission_LFS'!C$2</f>
        <v>0.22538610550891314</v>
      </c>
      <c r="F23" s="12">
        <f>$D23*'Process-emission_LFS'!C$2</f>
        <v>0.22538610550891314</v>
      </c>
      <c r="G23" s="12">
        <f>$D23*'Process-emission_LFS'!D$2</f>
        <v>0.19721284232029901</v>
      </c>
      <c r="H23" s="12">
        <f>$D23*'Process-emission_LFS'!E$2</f>
        <v>0.21378535007830732</v>
      </c>
      <c r="I23" s="12">
        <f>$D23*'Process-emission_LFS'!F$2</f>
        <v>0.19555559154449817</v>
      </c>
      <c r="J23" s="12">
        <f>$D23*'Process-emission_LFS'!G$2</f>
        <v>0.17898308378648986</v>
      </c>
      <c r="K23" s="12"/>
    </row>
    <row r="24" spans="1:11" x14ac:dyDescent="0.25">
      <c r="A24">
        <v>49.808461000000001</v>
      </c>
      <c r="B24">
        <v>9.6178912790000002</v>
      </c>
      <c r="C24" s="11">
        <v>310795.84450000001</v>
      </c>
      <c r="D24" s="3">
        <f t="shared" si="0"/>
        <v>3.4591866117118827E-2</v>
      </c>
      <c r="E24" s="12">
        <f>$D24*'Process-emission_LFS'!C$2</f>
        <v>0.47044937919281604</v>
      </c>
      <c r="F24" s="12">
        <f>$D24*'Process-emission_LFS'!C$2</f>
        <v>0.47044937919281604</v>
      </c>
      <c r="G24" s="12">
        <f>$D24*'Process-emission_LFS'!D$2</f>
        <v>0.41164320679371408</v>
      </c>
      <c r="H24" s="12">
        <f>$D24*'Process-emission_LFS'!E$2</f>
        <v>0.44623507291083286</v>
      </c>
      <c r="I24" s="12">
        <f>$D24*'Process-emission_LFS'!F$2</f>
        <v>0.40818402018200217</v>
      </c>
      <c r="J24" s="12">
        <f>$D24*'Process-emission_LFS'!G$2</f>
        <v>0.37359215406488339</v>
      </c>
      <c r="K24" s="12"/>
    </row>
    <row r="25" spans="1:11" x14ac:dyDescent="0.25">
      <c r="A25">
        <v>49.955004879999997</v>
      </c>
      <c r="B25">
        <v>9.7685104519999992</v>
      </c>
      <c r="C25" s="11">
        <v>283015.96230000001</v>
      </c>
      <c r="D25" s="3">
        <f t="shared" si="0"/>
        <v>3.149993943013981E-2</v>
      </c>
      <c r="E25" s="12">
        <f>$D25*'Process-emission_LFS'!C$2</f>
        <v>0.42839917624990143</v>
      </c>
      <c r="F25" s="12">
        <f>$D25*'Process-emission_LFS'!C$2</f>
        <v>0.42839917624990143</v>
      </c>
      <c r="G25" s="12">
        <f>$D25*'Process-emission_LFS'!D$2</f>
        <v>0.37484927921866373</v>
      </c>
      <c r="H25" s="12">
        <f>$D25*'Process-emission_LFS'!E$2</f>
        <v>0.40634921864880358</v>
      </c>
      <c r="I25" s="12">
        <f>$D25*'Process-emission_LFS'!F$2</f>
        <v>0.37169928527564977</v>
      </c>
      <c r="J25" s="12">
        <f>$D25*'Process-emission_LFS'!G$2</f>
        <v>0.34019934584550998</v>
      </c>
      <c r="K25" s="12"/>
    </row>
    <row r="26" spans="1:11" x14ac:dyDescent="0.25">
      <c r="A26">
        <v>48.776732469999999</v>
      </c>
      <c r="B26">
        <v>10.70031679</v>
      </c>
      <c r="C26" s="11">
        <v>292172.04830000002</v>
      </c>
      <c r="D26" s="3">
        <f t="shared" si="0"/>
        <v>3.2519020304848309E-2</v>
      </c>
      <c r="E26" s="12">
        <f>$D26*'Process-emission_LFS'!C$2</f>
        <v>0.442258676145937</v>
      </c>
      <c r="F26" s="12">
        <f>$D26*'Process-emission_LFS'!C$2</f>
        <v>0.442258676145937</v>
      </c>
      <c r="G26" s="12">
        <f>$D26*'Process-emission_LFS'!D$2</f>
        <v>0.3869763416276949</v>
      </c>
      <c r="H26" s="12">
        <f>$D26*'Process-emission_LFS'!E$2</f>
        <v>0.41949536193254322</v>
      </c>
      <c r="I26" s="12">
        <f>$D26*'Process-emission_LFS'!F$2</f>
        <v>0.38372443959721009</v>
      </c>
      <c r="J26" s="12">
        <f>$D26*'Process-emission_LFS'!G$2</f>
        <v>0.35120541929236176</v>
      </c>
      <c r="K26" s="12"/>
    </row>
    <row r="27" spans="1:11" x14ac:dyDescent="0.25">
      <c r="A27">
        <v>52.489069260000001</v>
      </c>
      <c r="B27">
        <v>13.836929169999999</v>
      </c>
      <c r="C27" s="11">
        <v>638799.27870000002</v>
      </c>
      <c r="D27" s="3">
        <f t="shared" si="0"/>
        <v>7.1098952947881128E-2</v>
      </c>
      <c r="E27" s="12">
        <f>$D27*'Process-emission_LFS'!C$2</f>
        <v>0.96694576009118327</v>
      </c>
      <c r="F27" s="12">
        <f>$D27*'Process-emission_LFS'!C$2</f>
        <v>0.96694576009118327</v>
      </c>
      <c r="G27" s="12">
        <f>$D27*'Process-emission_LFS'!D$2</f>
        <v>0.84607754007978542</v>
      </c>
      <c r="H27" s="12">
        <f>$D27*'Process-emission_LFS'!E$2</f>
        <v>0.91717649302766657</v>
      </c>
      <c r="I27" s="12">
        <f>$D27*'Process-emission_LFS'!F$2</f>
        <v>0.83896764478499741</v>
      </c>
      <c r="J27" s="12">
        <f>$D27*'Process-emission_LFS'!G$2</f>
        <v>0.76786869183711626</v>
      </c>
      <c r="K27" s="12"/>
    </row>
    <row r="28" spans="1:11" x14ac:dyDescent="0.25">
      <c r="A28">
        <v>51.816375209999997</v>
      </c>
      <c r="B28">
        <v>11.7496466</v>
      </c>
      <c r="C28" s="11">
        <v>333041.1103</v>
      </c>
      <c r="D28" s="3">
        <f t="shared" si="0"/>
        <v>3.7067784858990302E-2</v>
      </c>
      <c r="E28" s="12">
        <f>$D28*'Process-emission_LFS'!C$2</f>
        <v>0.50412187408226805</v>
      </c>
      <c r="F28" s="12">
        <f>$D28*'Process-emission_LFS'!C$2</f>
        <v>0.50412187408226805</v>
      </c>
      <c r="G28" s="12">
        <f>$D28*'Process-emission_LFS'!D$2</f>
        <v>0.44110663982198461</v>
      </c>
      <c r="H28" s="12">
        <f>$D28*'Process-emission_LFS'!E$2</f>
        <v>0.47817442468097493</v>
      </c>
      <c r="I28" s="12">
        <f>$D28*'Process-emission_LFS'!F$2</f>
        <v>0.4373998613360856</v>
      </c>
      <c r="J28" s="12">
        <f>$D28*'Process-emission_LFS'!G$2</f>
        <v>0.40033207647709529</v>
      </c>
      <c r="K28" s="12"/>
    </row>
    <row r="29" spans="1:11" x14ac:dyDescent="0.25">
      <c r="A29">
        <v>51.271111779999998</v>
      </c>
      <c r="B29">
        <v>11.654702629999999</v>
      </c>
      <c r="C29" s="11">
        <v>456314.9472</v>
      </c>
      <c r="D29" s="3">
        <f t="shared" si="0"/>
        <v>5.0788277385679613E-2</v>
      </c>
      <c r="E29" s="12">
        <f>$D29*'Process-emission_LFS'!C$2</f>
        <v>0.69072057244524276</v>
      </c>
      <c r="F29" s="12">
        <f>$D29*'Process-emission_LFS'!C$2</f>
        <v>0.69072057244524276</v>
      </c>
      <c r="G29" s="12">
        <f>$D29*'Process-emission_LFS'!D$2</f>
        <v>0.60438050088958739</v>
      </c>
      <c r="H29" s="12">
        <f>$D29*'Process-emission_LFS'!E$2</f>
        <v>0.65516877827526698</v>
      </c>
      <c r="I29" s="12">
        <f>$D29*'Process-emission_LFS'!F$2</f>
        <v>0.59930167315101945</v>
      </c>
      <c r="J29" s="12">
        <f>$D29*'Process-emission_LFS'!G$2</f>
        <v>0.54851339576533986</v>
      </c>
      <c r="K29" s="12"/>
    </row>
    <row r="30" spans="1:11" x14ac:dyDescent="0.25">
      <c r="A30">
        <v>51.362759730000001</v>
      </c>
      <c r="B30">
        <v>10.483568269999999</v>
      </c>
      <c r="C30" s="11">
        <v>520502.15870000003</v>
      </c>
      <c r="D30" s="3">
        <f t="shared" si="0"/>
        <v>5.7932373633849336E-2</v>
      </c>
      <c r="E30" s="12">
        <f>$D30*'Process-emission_LFS'!C$2</f>
        <v>0.78788028142035094</v>
      </c>
      <c r="F30" s="12">
        <f>$D30*'Process-emission_LFS'!C$2</f>
        <v>0.78788028142035094</v>
      </c>
      <c r="G30" s="12">
        <f>$D30*'Process-emission_LFS'!D$2</f>
        <v>0.68939524624280712</v>
      </c>
      <c r="H30" s="12">
        <f>$D30*'Process-emission_LFS'!E$2</f>
        <v>0.74732761987665641</v>
      </c>
      <c r="I30" s="12">
        <f>$D30*'Process-emission_LFS'!F$2</f>
        <v>0.68360200887942224</v>
      </c>
      <c r="J30" s="12">
        <f>$D30*'Process-emission_LFS'!G$2</f>
        <v>0.62566963524557284</v>
      </c>
      <c r="K30" s="12"/>
    </row>
    <row r="31" spans="1:11" x14ac:dyDescent="0.25">
      <c r="A31">
        <v>51.760245959999999</v>
      </c>
      <c r="B31">
        <v>8.0731712420000008</v>
      </c>
      <c r="C31" s="11">
        <v>141021.76980000001</v>
      </c>
      <c r="D31" s="3">
        <f t="shared" si="0"/>
        <v>1.5695853940288933E-2</v>
      </c>
      <c r="E31" s="12">
        <f>$D31*'Process-emission_LFS'!C$2</f>
        <v>0.21346361358792948</v>
      </c>
      <c r="F31" s="12">
        <f>$D31*'Process-emission_LFS'!C$2</f>
        <v>0.21346361358792948</v>
      </c>
      <c r="G31" s="12">
        <f>$D31*'Process-emission_LFS'!D$2</f>
        <v>0.18678066188943832</v>
      </c>
      <c r="H31" s="12">
        <f>$D31*'Process-emission_LFS'!E$2</f>
        <v>0.20247651582972723</v>
      </c>
      <c r="I31" s="12">
        <f>$D31*'Process-emission_LFS'!F$2</f>
        <v>0.18521107649540941</v>
      </c>
      <c r="J31" s="12">
        <f>$D31*'Process-emission_LFS'!G$2</f>
        <v>0.1695152225551205</v>
      </c>
      <c r="K31" s="12"/>
    </row>
    <row r="32" spans="1:11" x14ac:dyDescent="0.25">
      <c r="B32" t="s">
        <v>75</v>
      </c>
      <c r="C32" s="11">
        <f>SUM(C2:C31)</f>
        <v>8984650.9999699984</v>
      </c>
      <c r="D32" s="11">
        <f>SUM(D2:D31)</f>
        <v>1.0000000000000002</v>
      </c>
      <c r="E32" s="12">
        <f>$D32*'Process-emission_LFS'!C$2</f>
        <v>13.600000000000003</v>
      </c>
      <c r="F32" s="12">
        <f>$D32*'Process-emission_LFS'!C$2</f>
        <v>13.600000000000003</v>
      </c>
      <c r="G32" s="12">
        <f>$D32*'Process-emission_LFS'!D$2</f>
        <v>11.900000000000002</v>
      </c>
      <c r="H32" s="12">
        <f>$D32*'Process-emission_LFS'!E$2</f>
        <v>12.900000000000004</v>
      </c>
      <c r="I32" s="12">
        <f>$D32*'Process-emission_LFS'!F$2</f>
        <v>11.800000000000002</v>
      </c>
      <c r="J32" s="12">
        <f>$D32*'Process-emission_LFS'!G$2</f>
        <v>10.800000000000002</v>
      </c>
      <c r="K32" s="12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5"/>
  <sheetViews>
    <sheetView topLeftCell="A27" workbookViewId="0">
      <selection activeCell="L14" sqref="L14"/>
    </sheetView>
  </sheetViews>
  <sheetFormatPr baseColWidth="10" defaultColWidth="11.5703125" defaultRowHeight="15" x14ac:dyDescent="0.25"/>
  <cols>
    <col min="1" max="2" width="11.5703125" style="65" customWidth="1"/>
    <col min="3" max="3" width="19.5703125" style="65" bestFit="1" customWidth="1"/>
    <col min="4" max="4" width="11.5703125" style="65" customWidth="1"/>
    <col min="5" max="16384" width="11.5703125" style="65"/>
  </cols>
  <sheetData>
    <row r="1" spans="1:11" ht="15.6" customHeight="1" thickBot="1" x14ac:dyDescent="0.3">
      <c r="A1" s="80" t="s">
        <v>76</v>
      </c>
      <c r="B1" s="42" t="s">
        <v>1</v>
      </c>
      <c r="C1" s="43" t="s">
        <v>11</v>
      </c>
      <c r="D1" s="43" t="s">
        <v>74</v>
      </c>
      <c r="E1" s="23">
        <v>2021</v>
      </c>
      <c r="F1" s="23">
        <v>2025</v>
      </c>
      <c r="G1" s="23">
        <v>2030</v>
      </c>
      <c r="H1" s="23">
        <v>2035</v>
      </c>
      <c r="I1" s="23">
        <v>2040</v>
      </c>
      <c r="J1" s="81">
        <v>2045</v>
      </c>
      <c r="K1" s="46">
        <v>2050</v>
      </c>
    </row>
    <row r="2" spans="1:11" x14ac:dyDescent="0.25">
      <c r="A2" s="82">
        <v>50.584319999999998</v>
      </c>
      <c r="B2" s="83">
        <v>9.5092449999999999</v>
      </c>
      <c r="C2" s="84">
        <v>25934.452450000001</v>
      </c>
      <c r="D2" s="85">
        <f t="shared" ref="D2:D33" si="0">C2/$C$54</f>
        <v>7.4156158237519238E-3</v>
      </c>
      <c r="E2" s="86">
        <f>$D2*'Process-emission_LFS'!C$3</f>
        <v>3.3370271206883656E-2</v>
      </c>
      <c r="F2" s="86">
        <f>$D2*'Process-emission_LFS'!D$3</f>
        <v>2.5954655383131735E-2</v>
      </c>
      <c r="G2" s="86">
        <f>$D2*'Process-emission_LFS'!E$3</f>
        <v>3.1145586459758082E-2</v>
      </c>
      <c r="H2" s="86">
        <f>$D2*'Process-emission_LFS'!F$3</f>
        <v>2.5954655383131735E-2</v>
      </c>
      <c r="I2" s="86">
        <f>$D2*'Process-emission_LFS'!G$3</f>
        <v>2.3729970636006157E-2</v>
      </c>
      <c r="J2" s="87">
        <f>$D2*'Process-emission_LFS'!H$3</f>
        <v>2.2246847471255771E-2</v>
      </c>
      <c r="K2" s="88"/>
    </row>
    <row r="3" spans="1:11" x14ac:dyDescent="0.25">
      <c r="A3" s="89">
        <v>50.808852000000002</v>
      </c>
      <c r="B3" s="65">
        <v>12.09295</v>
      </c>
      <c r="C3" s="90">
        <v>41535.577539999998</v>
      </c>
      <c r="D3" s="91">
        <f t="shared" si="0"/>
        <v>1.1876552498963555E-2</v>
      </c>
      <c r="E3" s="88">
        <f>$D3*'Process-emission_LFS'!C$3</f>
        <v>5.3444486245335994E-2</v>
      </c>
      <c r="F3" s="88">
        <f>$D3*'Process-emission_LFS'!D$3</f>
        <v>4.1567933746372444E-2</v>
      </c>
      <c r="G3" s="88">
        <f>$D3*'Process-emission_LFS'!E$3</f>
        <v>4.9881520495646932E-2</v>
      </c>
      <c r="H3" s="88">
        <f>$D3*'Process-emission_LFS'!F$3</f>
        <v>4.1567933746372444E-2</v>
      </c>
      <c r="I3" s="88">
        <f>$D3*'Process-emission_LFS'!G$3</f>
        <v>3.8004967996683375E-2</v>
      </c>
      <c r="J3" s="92">
        <f>$D3*'Process-emission_LFS'!H$3</f>
        <v>3.5629657496890663E-2</v>
      </c>
    </row>
    <row r="4" spans="1:11" x14ac:dyDescent="0.25">
      <c r="A4" s="89">
        <v>51.647706999999997</v>
      </c>
      <c r="B4" s="65">
        <v>10.087452000000001</v>
      </c>
      <c r="C4" s="90">
        <v>19123.90048</v>
      </c>
      <c r="D4" s="91">
        <f t="shared" si="0"/>
        <v>5.4682279984417026E-3</v>
      </c>
      <c r="E4" s="88">
        <f>$D4*'Process-emission_LFS'!C$3</f>
        <v>2.4607025992987662E-2</v>
      </c>
      <c r="F4" s="88">
        <f>$D4*'Process-emission_LFS'!D$3</f>
        <v>1.9138797994545959E-2</v>
      </c>
      <c r="G4" s="88">
        <f>$D4*'Process-emission_LFS'!E$3</f>
        <v>2.2966557593455152E-2</v>
      </c>
      <c r="H4" s="88">
        <f>$D4*'Process-emission_LFS'!F$3</f>
        <v>1.9138797994545959E-2</v>
      </c>
      <c r="I4" s="88">
        <f>$D4*'Process-emission_LFS'!G$3</f>
        <v>1.7498329595013448E-2</v>
      </c>
      <c r="J4" s="92">
        <f>$D4*'Process-emission_LFS'!H$3</f>
        <v>1.6404683995325107E-2</v>
      </c>
    </row>
    <row r="5" spans="1:11" x14ac:dyDescent="0.25">
      <c r="A5" s="89">
        <v>52.490088</v>
      </c>
      <c r="B5" s="65">
        <v>13.838051</v>
      </c>
      <c r="C5" s="90">
        <v>73481.071190000002</v>
      </c>
      <c r="D5" s="91">
        <f t="shared" si="0"/>
        <v>2.1010946551246953E-2</v>
      </c>
      <c r="E5" s="88">
        <f>$D5*'Process-emission_LFS'!C$3</f>
        <v>9.4549259480611297E-2</v>
      </c>
      <c r="F5" s="88">
        <f>$D5*'Process-emission_LFS'!D$3</f>
        <v>7.353831292936433E-2</v>
      </c>
      <c r="G5" s="88">
        <f>$D5*'Process-emission_LFS'!E$3</f>
        <v>8.8245975515237204E-2</v>
      </c>
      <c r="H5" s="88">
        <f>$D5*'Process-emission_LFS'!F$3</f>
        <v>7.353831292936433E-2</v>
      </c>
      <c r="I5" s="88">
        <f>$D5*'Process-emission_LFS'!G$3</f>
        <v>6.7235028963990251E-2</v>
      </c>
      <c r="J5" s="92">
        <f>$D5*'Process-emission_LFS'!H$3</f>
        <v>6.303283965374086E-2</v>
      </c>
    </row>
    <row r="6" spans="1:11" x14ac:dyDescent="0.25">
      <c r="A6" s="89">
        <v>51.844586</v>
      </c>
      <c r="B6" s="65">
        <v>10.18979</v>
      </c>
      <c r="C6" s="90">
        <v>119266.48609999999</v>
      </c>
      <c r="D6" s="91">
        <f t="shared" si="0"/>
        <v>3.4102684190907173E-2</v>
      </c>
      <c r="E6" s="88">
        <f>$D6*'Process-emission_LFS'!C$3</f>
        <v>0.15346207885908228</v>
      </c>
      <c r="F6" s="88">
        <f>$D6*'Process-emission_LFS'!D$3</f>
        <v>0.11935939466817511</v>
      </c>
      <c r="G6" s="88">
        <f>$D6*'Process-emission_LFS'!E$3</f>
        <v>0.14323127360181012</v>
      </c>
      <c r="H6" s="88">
        <f>$D6*'Process-emission_LFS'!F$3</f>
        <v>0.11935939466817511</v>
      </c>
      <c r="I6" s="88">
        <f>$D6*'Process-emission_LFS'!G$3</f>
        <v>0.10912858941090296</v>
      </c>
      <c r="J6" s="92">
        <f>$D6*'Process-emission_LFS'!H$3</f>
        <v>0.10230805257272152</v>
      </c>
    </row>
    <row r="7" spans="1:11" x14ac:dyDescent="0.25">
      <c r="A7" s="89">
        <v>48.890949999999997</v>
      </c>
      <c r="B7" s="65">
        <v>11.932119999999999</v>
      </c>
      <c r="C7" s="90">
        <v>108898.9571</v>
      </c>
      <c r="D7" s="91">
        <f t="shared" si="0"/>
        <v>3.113822553291816E-2</v>
      </c>
      <c r="E7" s="88">
        <f>$D7*'Process-emission_LFS'!C$3</f>
        <v>0.14012201489813172</v>
      </c>
      <c r="F7" s="88">
        <f>$D7*'Process-emission_LFS'!D$3</f>
        <v>0.10898378936521355</v>
      </c>
      <c r="G7" s="88">
        <f>$D7*'Process-emission_LFS'!E$3</f>
        <v>0.13078054723825627</v>
      </c>
      <c r="H7" s="88">
        <f>$D7*'Process-emission_LFS'!F$3</f>
        <v>0.10898378936521355</v>
      </c>
      <c r="I7" s="88">
        <f>$D7*'Process-emission_LFS'!G$3</f>
        <v>9.9642321705338113E-2</v>
      </c>
      <c r="J7" s="92">
        <f>$D7*'Process-emission_LFS'!H$3</f>
        <v>9.3414676598754479E-2</v>
      </c>
    </row>
    <row r="8" spans="1:11" x14ac:dyDescent="0.25">
      <c r="A8" s="89">
        <v>51.247683000000002</v>
      </c>
      <c r="B8" s="65">
        <v>7.0445830000000003</v>
      </c>
      <c r="C8" s="90">
        <v>89386.334010000006</v>
      </c>
      <c r="D8" s="91">
        <f t="shared" si="0"/>
        <v>2.5558847413095501E-2</v>
      </c>
      <c r="E8" s="88">
        <f>$D8*'Process-emission_LFS'!C$3</f>
        <v>0.11501481335892975</v>
      </c>
      <c r="F8" s="88">
        <f>$D8*'Process-emission_LFS'!D$3</f>
        <v>8.9455965945834257E-2</v>
      </c>
      <c r="G8" s="88">
        <f>$D8*'Process-emission_LFS'!E$3</f>
        <v>0.10734715913500111</v>
      </c>
      <c r="H8" s="88">
        <f>$D8*'Process-emission_LFS'!F$3</f>
        <v>8.9455965945834257E-2</v>
      </c>
      <c r="I8" s="88">
        <f>$D8*'Process-emission_LFS'!G$3</f>
        <v>8.1788311721905607E-2</v>
      </c>
      <c r="J8" s="92">
        <f>$D8*'Process-emission_LFS'!H$3</f>
        <v>7.6676542239286508E-2</v>
      </c>
    </row>
    <row r="9" spans="1:11" x14ac:dyDescent="0.25">
      <c r="A9" s="89">
        <v>51.755471</v>
      </c>
      <c r="B9" s="65">
        <v>10.825817000000001</v>
      </c>
      <c r="C9" s="90">
        <v>301777.43699999998</v>
      </c>
      <c r="D9" s="91">
        <f t="shared" si="0"/>
        <v>8.628929187469693E-2</v>
      </c>
      <c r="E9" s="88">
        <f>$D9*'Process-emission_LFS'!C$3</f>
        <v>0.38830181343613618</v>
      </c>
      <c r="F9" s="88">
        <f>$D9*'Process-emission_LFS'!D$3</f>
        <v>0.30201252156143926</v>
      </c>
      <c r="G9" s="88">
        <f>$D9*'Process-emission_LFS'!E$3</f>
        <v>0.36241502587372715</v>
      </c>
      <c r="H9" s="88">
        <f>$D9*'Process-emission_LFS'!F$3</f>
        <v>0.30201252156143926</v>
      </c>
      <c r="I9" s="88">
        <f>$D9*'Process-emission_LFS'!G$3</f>
        <v>0.27612573399903018</v>
      </c>
      <c r="J9" s="92">
        <f>$D9*'Process-emission_LFS'!H$3</f>
        <v>0.2588678756240908</v>
      </c>
    </row>
    <row r="10" spans="1:11" x14ac:dyDescent="0.25">
      <c r="A10" s="89">
        <v>47.658802999999999</v>
      </c>
      <c r="B10" s="65">
        <v>7.5460190000000003</v>
      </c>
      <c r="C10" s="90">
        <v>66163.745599999995</v>
      </c>
      <c r="D10" s="91">
        <f t="shared" si="0"/>
        <v>1.891865346978076E-2</v>
      </c>
      <c r="E10" s="88">
        <f>$D10*'Process-emission_LFS'!C$3</f>
        <v>8.5133940614013415E-2</v>
      </c>
      <c r="F10" s="88">
        <f>$D10*'Process-emission_LFS'!D$3</f>
        <v>6.6215287144232665E-2</v>
      </c>
      <c r="G10" s="88">
        <f>$D10*'Process-emission_LFS'!E$3</f>
        <v>7.9458344573079195E-2</v>
      </c>
      <c r="H10" s="88">
        <f>$D10*'Process-emission_LFS'!F$3</f>
        <v>6.6215287144232665E-2</v>
      </c>
      <c r="I10" s="88">
        <f>$D10*'Process-emission_LFS'!G$3</f>
        <v>6.0539691103298432E-2</v>
      </c>
      <c r="J10" s="92">
        <f>$D10*'Process-emission_LFS'!H$3</f>
        <v>5.6755960409342276E-2</v>
      </c>
    </row>
    <row r="11" spans="1:11" x14ac:dyDescent="0.25">
      <c r="A11" s="89">
        <v>49.008715000000002</v>
      </c>
      <c r="B11" s="65">
        <v>11.824687000000001</v>
      </c>
      <c r="C11" s="90">
        <v>108898.9571</v>
      </c>
      <c r="D11" s="91">
        <f t="shared" si="0"/>
        <v>3.113822553291816E-2</v>
      </c>
      <c r="E11" s="88">
        <f>$D11*'Process-emission_LFS'!C$3</f>
        <v>0.14012201489813172</v>
      </c>
      <c r="F11" s="88">
        <f>$D11*'Process-emission_LFS'!D$3</f>
        <v>0.10898378936521355</v>
      </c>
      <c r="G11" s="88">
        <f>$D11*'Process-emission_LFS'!E$3</f>
        <v>0.13078054723825627</v>
      </c>
      <c r="H11" s="88">
        <f>$D11*'Process-emission_LFS'!F$3</f>
        <v>0.10898378936521355</v>
      </c>
      <c r="I11" s="88">
        <f>$D11*'Process-emission_LFS'!G$3</f>
        <v>9.9642321705338113E-2</v>
      </c>
      <c r="J11" s="92">
        <f>$D11*'Process-emission_LFS'!H$3</f>
        <v>9.3414676598754479E-2</v>
      </c>
    </row>
    <row r="12" spans="1:11" x14ac:dyDescent="0.25">
      <c r="A12" s="89">
        <v>51.140329999999999</v>
      </c>
      <c r="B12" s="65">
        <v>8.025404</v>
      </c>
      <c r="C12" s="90">
        <v>19115.80975</v>
      </c>
      <c r="D12" s="91">
        <f t="shared" si="0"/>
        <v>5.4659145605339861E-3</v>
      </c>
      <c r="E12" s="88">
        <f>$D12*'Process-emission_LFS'!C$3</f>
        <v>2.4596615522402936E-2</v>
      </c>
      <c r="F12" s="88">
        <f>$D12*'Process-emission_LFS'!D$3</f>
        <v>1.9130700961868953E-2</v>
      </c>
      <c r="G12" s="88">
        <f>$D12*'Process-emission_LFS'!E$3</f>
        <v>2.2956841154242742E-2</v>
      </c>
      <c r="H12" s="88">
        <f>$D12*'Process-emission_LFS'!F$3</f>
        <v>1.9130700961868953E-2</v>
      </c>
      <c r="I12" s="88">
        <f>$D12*'Process-emission_LFS'!G$3</f>
        <v>1.7490926593708756E-2</v>
      </c>
      <c r="J12" s="92">
        <f>$D12*'Process-emission_LFS'!H$3</f>
        <v>1.6397743681601958E-2</v>
      </c>
    </row>
    <row r="13" spans="1:11" x14ac:dyDescent="0.25">
      <c r="A13" s="89">
        <v>50.419099000000003</v>
      </c>
      <c r="B13" s="65">
        <v>8.1118000000000006</v>
      </c>
      <c r="C13" s="90">
        <v>106358.1015</v>
      </c>
      <c r="D13" s="91">
        <f t="shared" si="0"/>
        <v>3.0411701268349439E-2</v>
      </c>
      <c r="E13" s="88">
        <f>$D13*'Process-emission_LFS'!C$3</f>
        <v>0.13685265570757249</v>
      </c>
      <c r="F13" s="88">
        <f>$D13*'Process-emission_LFS'!D$3</f>
        <v>0.10644095443922304</v>
      </c>
      <c r="G13" s="88">
        <f>$D13*'Process-emission_LFS'!E$3</f>
        <v>0.12772914532706764</v>
      </c>
      <c r="H13" s="88">
        <f>$D13*'Process-emission_LFS'!F$3</f>
        <v>0.10644095443922304</v>
      </c>
      <c r="I13" s="88">
        <f>$D13*'Process-emission_LFS'!G$3</f>
        <v>9.7317444058718214E-2</v>
      </c>
      <c r="J13" s="92">
        <f>$D13*'Process-emission_LFS'!H$3</f>
        <v>9.1235103805048318E-2</v>
      </c>
    </row>
    <row r="14" spans="1:11" x14ac:dyDescent="0.25">
      <c r="A14" s="89">
        <v>50.317605</v>
      </c>
      <c r="B14" s="65">
        <v>8.0657010000000007</v>
      </c>
      <c r="C14" s="90">
        <v>114666.1732</v>
      </c>
      <c r="D14" s="91">
        <f t="shared" si="0"/>
        <v>3.2787285178677399E-2</v>
      </c>
      <c r="E14" s="88">
        <f>$D14*'Process-emission_LFS'!C$3</f>
        <v>0.1475427833040483</v>
      </c>
      <c r="F14" s="88">
        <f>$D14*'Process-emission_LFS'!D$3</f>
        <v>0.11475549812537089</v>
      </c>
      <c r="G14" s="88">
        <f>$D14*'Process-emission_LFS'!E$3</f>
        <v>0.13770659775044508</v>
      </c>
      <c r="H14" s="88">
        <f>$D14*'Process-emission_LFS'!F$3</f>
        <v>0.11475549812537089</v>
      </c>
      <c r="I14" s="88">
        <f>$D14*'Process-emission_LFS'!G$3</f>
        <v>0.10491931257176768</v>
      </c>
      <c r="J14" s="92">
        <f>$D14*'Process-emission_LFS'!H$3</f>
        <v>9.8361855536032189E-2</v>
      </c>
    </row>
    <row r="15" spans="1:11" x14ac:dyDescent="0.25">
      <c r="A15" s="89">
        <v>51.436858999999998</v>
      </c>
      <c r="B15" s="65">
        <v>8.3738720000000004</v>
      </c>
      <c r="C15" s="90">
        <v>54363.422630000001</v>
      </c>
      <c r="D15" s="91">
        <f t="shared" si="0"/>
        <v>1.5544506207160792E-2</v>
      </c>
      <c r="E15" s="88">
        <f>$D15*'Process-emission_LFS'!C$3</f>
        <v>6.9950277932223567E-2</v>
      </c>
      <c r="F15" s="88">
        <f>$D15*'Process-emission_LFS'!D$3</f>
        <v>5.4405771725062772E-2</v>
      </c>
      <c r="G15" s="88">
        <f>$D15*'Process-emission_LFS'!E$3</f>
        <v>6.528692607007533E-2</v>
      </c>
      <c r="H15" s="88">
        <f>$D15*'Process-emission_LFS'!F$3</f>
        <v>5.4405771725062772E-2</v>
      </c>
      <c r="I15" s="88">
        <f>$D15*'Process-emission_LFS'!G$3</f>
        <v>4.9742419862914534E-2</v>
      </c>
      <c r="J15" s="92">
        <f>$D15*'Process-emission_LFS'!H$3</f>
        <v>4.6633518621482378E-2</v>
      </c>
    </row>
    <row r="16" spans="1:11" x14ac:dyDescent="0.25">
      <c r="A16" s="89">
        <v>49.029909000000004</v>
      </c>
      <c r="B16" s="65">
        <v>12.1388</v>
      </c>
      <c r="C16" s="90">
        <v>61225.828800000003</v>
      </c>
      <c r="D16" s="91">
        <f t="shared" si="0"/>
        <v>1.7506721059445628E-2</v>
      </c>
      <c r="E16" s="88">
        <f>$D16*'Process-emission_LFS'!C$3</f>
        <v>7.8780244767505322E-2</v>
      </c>
      <c r="F16" s="88">
        <f>$D16*'Process-emission_LFS'!D$3</f>
        <v>6.1273523708059698E-2</v>
      </c>
      <c r="G16" s="88">
        <f>$D16*'Process-emission_LFS'!E$3</f>
        <v>7.3528228449671648E-2</v>
      </c>
      <c r="H16" s="88">
        <f>$D16*'Process-emission_LFS'!F$3</f>
        <v>6.1273523708059698E-2</v>
      </c>
      <c r="I16" s="88">
        <f>$D16*'Process-emission_LFS'!G$3</f>
        <v>5.6021507390226016E-2</v>
      </c>
      <c r="J16" s="92">
        <f>$D16*'Process-emission_LFS'!H$3</f>
        <v>5.2520163178336882E-2</v>
      </c>
    </row>
    <row r="17" spans="1:10" x14ac:dyDescent="0.25">
      <c r="A17" s="89">
        <v>50.334173999999997</v>
      </c>
      <c r="B17" s="65">
        <v>6.7668109999999997</v>
      </c>
      <c r="C17" s="90">
        <v>19976.368729999998</v>
      </c>
      <c r="D17" s="91">
        <f t="shared" si="0"/>
        <v>5.7119800906107465E-3</v>
      </c>
      <c r="E17" s="88">
        <f>$D17*'Process-emission_LFS'!C$3</f>
        <v>2.5703910407748359E-2</v>
      </c>
      <c r="F17" s="88">
        <f>$D17*'Process-emission_LFS'!D$3</f>
        <v>1.9991930317137613E-2</v>
      </c>
      <c r="G17" s="88">
        <f>$D17*'Process-emission_LFS'!E$3</f>
        <v>2.3990316380565136E-2</v>
      </c>
      <c r="H17" s="88">
        <f>$D17*'Process-emission_LFS'!F$3</f>
        <v>1.9991930317137613E-2</v>
      </c>
      <c r="I17" s="88">
        <f>$D17*'Process-emission_LFS'!G$3</f>
        <v>1.827833628995439E-2</v>
      </c>
      <c r="J17" s="92">
        <f>$D17*'Process-emission_LFS'!H$3</f>
        <v>1.713594027183224E-2</v>
      </c>
    </row>
    <row r="18" spans="1:10" x14ac:dyDescent="0.25">
      <c r="A18" s="89">
        <v>52.040866999999999</v>
      </c>
      <c r="B18" s="65">
        <v>8.3994090000000003</v>
      </c>
      <c r="C18" s="90">
        <v>3495.9288849999998</v>
      </c>
      <c r="D18" s="91">
        <f t="shared" si="0"/>
        <v>9.9961491796667621E-4</v>
      </c>
      <c r="E18" s="88">
        <f>$D18*'Process-emission_LFS'!C$3</f>
        <v>4.4982671308500428E-3</v>
      </c>
      <c r="F18" s="88">
        <f>$D18*'Process-emission_LFS'!D$3</f>
        <v>3.4986522128833668E-3</v>
      </c>
      <c r="G18" s="88">
        <f>$D18*'Process-emission_LFS'!E$3</f>
        <v>4.19838265546004E-3</v>
      </c>
      <c r="H18" s="88">
        <f>$D18*'Process-emission_LFS'!F$3</f>
        <v>3.4986522128833668E-3</v>
      </c>
      <c r="I18" s="88">
        <f>$D18*'Process-emission_LFS'!G$3</f>
        <v>3.1987677374933641E-3</v>
      </c>
      <c r="J18" s="92">
        <f>$D18*'Process-emission_LFS'!H$3</f>
        <v>2.9988447539000289E-3</v>
      </c>
    </row>
    <row r="19" spans="1:10" x14ac:dyDescent="0.25">
      <c r="A19" s="89">
        <v>50.230564000000001</v>
      </c>
      <c r="B19" s="65">
        <v>6.6829239999999999</v>
      </c>
      <c r="C19" s="90">
        <v>100.766307</v>
      </c>
      <c r="D19" s="91">
        <f t="shared" si="0"/>
        <v>2.8812801123558874E-5</v>
      </c>
      <c r="E19" s="88">
        <f>$D19*'Process-emission_LFS'!C$3</f>
        <v>1.2965760505601493E-4</v>
      </c>
      <c r="F19" s="88">
        <f>$D19*'Process-emission_LFS'!D$3</f>
        <v>1.0084480393245606E-4</v>
      </c>
      <c r="G19" s="88">
        <f>$D19*'Process-emission_LFS'!E$3</f>
        <v>1.2101376471894728E-4</v>
      </c>
      <c r="H19" s="88">
        <f>$D19*'Process-emission_LFS'!F$3</f>
        <v>1.0084480393245606E-4</v>
      </c>
      <c r="I19" s="88">
        <f>$D19*'Process-emission_LFS'!G$3</f>
        <v>9.2200963595388396E-5</v>
      </c>
      <c r="J19" s="92">
        <f>$D19*'Process-emission_LFS'!H$3</f>
        <v>8.6438403370676624E-5</v>
      </c>
    </row>
    <row r="20" spans="1:10" x14ac:dyDescent="0.25">
      <c r="A20" s="89">
        <v>51.296801000000002</v>
      </c>
      <c r="B20" s="65">
        <v>7.0149359999999996</v>
      </c>
      <c r="C20" s="90">
        <v>713985.18480000005</v>
      </c>
      <c r="D20" s="91">
        <f t="shared" si="0"/>
        <v>0.20415467974637427</v>
      </c>
      <c r="E20" s="88">
        <f>$D20*'Process-emission_LFS'!C$3</f>
        <v>0.91869605885868422</v>
      </c>
      <c r="F20" s="88">
        <f>$D20*'Process-emission_LFS'!D$3</f>
        <v>0.71454137911230997</v>
      </c>
      <c r="G20" s="88">
        <f>$D20*'Process-emission_LFS'!E$3</f>
        <v>0.85744965493477199</v>
      </c>
      <c r="H20" s="88">
        <f>$D20*'Process-emission_LFS'!F$3</f>
        <v>0.71454137911230997</v>
      </c>
      <c r="I20" s="88">
        <f>$D20*'Process-emission_LFS'!G$3</f>
        <v>0.65329497518839774</v>
      </c>
      <c r="J20" s="92">
        <f>$D20*'Process-emission_LFS'!H$3</f>
        <v>0.61246403923912285</v>
      </c>
    </row>
    <row r="21" spans="1:10" x14ac:dyDescent="0.25">
      <c r="A21" s="89">
        <v>51.394948999999997</v>
      </c>
      <c r="B21" s="65">
        <v>8.6849950000000007</v>
      </c>
      <c r="C21" s="90">
        <v>25462.616050000001</v>
      </c>
      <c r="D21" s="91">
        <f t="shared" si="0"/>
        <v>7.2807004064780129E-3</v>
      </c>
      <c r="E21" s="88">
        <f>$D21*'Process-emission_LFS'!C$3</f>
        <v>3.2763151829151058E-2</v>
      </c>
      <c r="F21" s="88">
        <f>$D21*'Process-emission_LFS'!D$3</f>
        <v>2.5482451422673046E-2</v>
      </c>
      <c r="G21" s="88">
        <f>$D21*'Process-emission_LFS'!E$3</f>
        <v>3.0578941707207655E-2</v>
      </c>
      <c r="H21" s="88">
        <f>$D21*'Process-emission_LFS'!F$3</f>
        <v>2.5482451422673046E-2</v>
      </c>
      <c r="I21" s="88">
        <f>$D21*'Process-emission_LFS'!G$3</f>
        <v>2.3298241300729643E-2</v>
      </c>
      <c r="J21" s="92">
        <f>$D21*'Process-emission_LFS'!H$3</f>
        <v>2.184210121943404E-2</v>
      </c>
    </row>
    <row r="22" spans="1:10" x14ac:dyDescent="0.25">
      <c r="A22" s="89">
        <v>51.397084999999997</v>
      </c>
      <c r="B22" s="65">
        <v>7.8406979999999997</v>
      </c>
      <c r="C22" s="90">
        <v>308236.77799999999</v>
      </c>
      <c r="D22" s="91">
        <f t="shared" si="0"/>
        <v>8.8136255539071881E-2</v>
      </c>
      <c r="E22" s="88">
        <f>$D22*'Process-emission_LFS'!C$3</f>
        <v>0.39661314992582347</v>
      </c>
      <c r="F22" s="88">
        <f>$D22*'Process-emission_LFS'!D$3</f>
        <v>0.30847689438675158</v>
      </c>
      <c r="G22" s="88">
        <f>$D22*'Process-emission_LFS'!E$3</f>
        <v>0.3701722732641019</v>
      </c>
      <c r="H22" s="88">
        <f>$D22*'Process-emission_LFS'!F$3</f>
        <v>0.30847689438675158</v>
      </c>
      <c r="I22" s="88">
        <f>$D22*'Process-emission_LFS'!G$3</f>
        <v>0.28203601772503001</v>
      </c>
      <c r="J22" s="92">
        <f>$D22*'Process-emission_LFS'!H$3</f>
        <v>0.26440876661721563</v>
      </c>
    </row>
    <row r="23" spans="1:10" x14ac:dyDescent="0.25">
      <c r="A23" s="89">
        <v>52.059196999999998</v>
      </c>
      <c r="B23" s="65">
        <v>9.5886659999999999</v>
      </c>
      <c r="C23" s="90">
        <v>3820.2934209999999</v>
      </c>
      <c r="D23" s="91">
        <f t="shared" si="0"/>
        <v>1.0923626939400824E-3</v>
      </c>
      <c r="E23" s="88">
        <f>$D23*'Process-emission_LFS'!C$3</f>
        <v>4.9156321227303706E-3</v>
      </c>
      <c r="F23" s="88">
        <f>$D23*'Process-emission_LFS'!D$3</f>
        <v>3.8232694287902887E-3</v>
      </c>
      <c r="G23" s="88">
        <f>$D23*'Process-emission_LFS'!E$3</f>
        <v>4.5879233145483464E-3</v>
      </c>
      <c r="H23" s="88">
        <f>$D23*'Process-emission_LFS'!F$3</f>
        <v>3.8232694287902887E-3</v>
      </c>
      <c r="I23" s="88">
        <f>$D23*'Process-emission_LFS'!G$3</f>
        <v>3.495560620608264E-3</v>
      </c>
      <c r="J23" s="92">
        <f>$D23*'Process-emission_LFS'!H$3</f>
        <v>3.2770880818202472E-3</v>
      </c>
    </row>
    <row r="24" spans="1:10" x14ac:dyDescent="0.25">
      <c r="A24" s="89">
        <v>52.264046999999998</v>
      </c>
      <c r="B24" s="65">
        <v>7.3968769999999999</v>
      </c>
      <c r="C24" s="90">
        <v>9274.5456080000004</v>
      </c>
      <c r="D24" s="91">
        <f t="shared" si="0"/>
        <v>2.651934422035338E-3</v>
      </c>
      <c r="E24" s="88">
        <f>$D24*'Process-emission_LFS'!C$3</f>
        <v>1.1933704899159021E-2</v>
      </c>
      <c r="F24" s="88">
        <f>$D24*'Process-emission_LFS'!D$3</f>
        <v>9.2817704771236825E-3</v>
      </c>
      <c r="G24" s="88">
        <f>$D24*'Process-emission_LFS'!E$3</f>
        <v>1.1138124572548419E-2</v>
      </c>
      <c r="H24" s="88">
        <f>$D24*'Process-emission_LFS'!F$3</f>
        <v>9.2817704771236825E-3</v>
      </c>
      <c r="I24" s="88">
        <f>$D24*'Process-emission_LFS'!G$3</f>
        <v>8.4861901505130823E-3</v>
      </c>
      <c r="J24" s="92">
        <f>$D24*'Process-emission_LFS'!H$3</f>
        <v>7.9558032661060131E-3</v>
      </c>
    </row>
    <row r="25" spans="1:10" x14ac:dyDescent="0.25">
      <c r="A25" s="89">
        <v>48.775784999999999</v>
      </c>
      <c r="B25" s="65">
        <v>10.699441999999999</v>
      </c>
      <c r="C25" s="90">
        <v>61717.892010000003</v>
      </c>
      <c r="D25" s="91">
        <f t="shared" si="0"/>
        <v>1.7647420067199777E-2</v>
      </c>
      <c r="E25" s="88">
        <f>$D25*'Process-emission_LFS'!C$3</f>
        <v>7.9413390302398995E-2</v>
      </c>
      <c r="F25" s="88">
        <f>$D25*'Process-emission_LFS'!D$3</f>
        <v>6.1765970235199225E-2</v>
      </c>
      <c r="G25" s="88">
        <f>$D25*'Process-emission_LFS'!E$3</f>
        <v>7.4119164282239067E-2</v>
      </c>
      <c r="H25" s="88">
        <f>$D25*'Process-emission_LFS'!F$3</f>
        <v>6.1765970235199225E-2</v>
      </c>
      <c r="I25" s="88">
        <f>$D25*'Process-emission_LFS'!G$3</f>
        <v>5.6471744215039289E-2</v>
      </c>
      <c r="J25" s="92">
        <f>$D25*'Process-emission_LFS'!H$3</f>
        <v>5.2942260201599332E-2</v>
      </c>
    </row>
    <row r="26" spans="1:10" x14ac:dyDescent="0.25">
      <c r="A26" s="89">
        <v>52.162646000000002</v>
      </c>
      <c r="B26" s="65">
        <v>7.968648</v>
      </c>
      <c r="C26" s="90">
        <v>56050.338880000003</v>
      </c>
      <c r="D26" s="91">
        <f t="shared" si="0"/>
        <v>1.6026857737850012E-2</v>
      </c>
      <c r="E26" s="88">
        <f>$D26*'Process-emission_LFS'!C$3</f>
        <v>7.2120859820325053E-2</v>
      </c>
      <c r="F26" s="88">
        <f>$D26*'Process-emission_LFS'!D$3</f>
        <v>5.6094002082475045E-2</v>
      </c>
      <c r="G26" s="88">
        <f>$D26*'Process-emission_LFS'!E$3</f>
        <v>6.7312802498970051E-2</v>
      </c>
      <c r="H26" s="88">
        <f>$D26*'Process-emission_LFS'!F$3</f>
        <v>5.6094002082475045E-2</v>
      </c>
      <c r="I26" s="88">
        <f>$D26*'Process-emission_LFS'!G$3</f>
        <v>5.1285944761120042E-2</v>
      </c>
      <c r="J26" s="92">
        <f>$D26*'Process-emission_LFS'!H$3</f>
        <v>4.808057321355004E-2</v>
      </c>
    </row>
    <row r="27" spans="1:10" x14ac:dyDescent="0.25">
      <c r="A27" s="89">
        <v>50.027914000000003</v>
      </c>
      <c r="B27" s="65">
        <v>11.308923</v>
      </c>
      <c r="C27" s="90">
        <v>1288.631897</v>
      </c>
      <c r="D27" s="91">
        <f t="shared" si="0"/>
        <v>3.6846735456659541E-4</v>
      </c>
      <c r="E27" s="88">
        <f>$D27*'Process-emission_LFS'!C$3</f>
        <v>1.6581030955496795E-3</v>
      </c>
      <c r="F27" s="88">
        <f>$D27*'Process-emission_LFS'!D$3</f>
        <v>1.2896357409830838E-3</v>
      </c>
      <c r="G27" s="88">
        <f>$D27*'Process-emission_LFS'!E$3</f>
        <v>1.5475628891797007E-3</v>
      </c>
      <c r="H27" s="88">
        <f>$D27*'Process-emission_LFS'!F$3</f>
        <v>1.2896357409830838E-3</v>
      </c>
      <c r="I27" s="88">
        <f>$D27*'Process-emission_LFS'!G$3</f>
        <v>1.1790955346131053E-3</v>
      </c>
      <c r="J27" s="92">
        <f>$D27*'Process-emission_LFS'!H$3</f>
        <v>1.1054020636997862E-3</v>
      </c>
    </row>
    <row r="28" spans="1:10" x14ac:dyDescent="0.25">
      <c r="A28" s="89">
        <v>52.170476999999998</v>
      </c>
      <c r="B28" s="65">
        <v>9.7933900000000005</v>
      </c>
      <c r="C28" s="90">
        <v>49294.950940000002</v>
      </c>
      <c r="D28" s="91">
        <f t="shared" si="0"/>
        <v>1.4095243341902087E-2</v>
      </c>
      <c r="E28" s="88">
        <f>$D28*'Process-emission_LFS'!C$3</f>
        <v>6.3428595038559396E-2</v>
      </c>
      <c r="F28" s="88">
        <f>$D28*'Process-emission_LFS'!D$3</f>
        <v>4.9333351696657306E-2</v>
      </c>
      <c r="G28" s="88">
        <f>$D28*'Process-emission_LFS'!E$3</f>
        <v>5.9200022035988766E-2</v>
      </c>
      <c r="H28" s="88">
        <f>$D28*'Process-emission_LFS'!F$3</f>
        <v>4.9333351696657306E-2</v>
      </c>
      <c r="I28" s="88">
        <f>$D28*'Process-emission_LFS'!G$3</f>
        <v>4.5104778694086682E-2</v>
      </c>
      <c r="J28" s="92">
        <f>$D28*'Process-emission_LFS'!H$3</f>
        <v>4.2285730025706264E-2</v>
      </c>
    </row>
    <row r="29" spans="1:10" x14ac:dyDescent="0.25">
      <c r="A29" s="89">
        <v>52.023237000000002</v>
      </c>
      <c r="B29" s="65">
        <v>10.545916999999999</v>
      </c>
      <c r="C29" s="90">
        <v>24347.199229999998</v>
      </c>
      <c r="D29" s="91">
        <f t="shared" si="0"/>
        <v>6.9617616266283901E-3</v>
      </c>
      <c r="E29" s="88">
        <f>$D29*'Process-emission_LFS'!C$3</f>
        <v>3.1327927319827753E-2</v>
      </c>
      <c r="F29" s="88">
        <f>$D29*'Process-emission_LFS'!D$3</f>
        <v>2.4366165693199365E-2</v>
      </c>
      <c r="G29" s="88">
        <f>$D29*'Process-emission_LFS'!E$3</f>
        <v>2.923939883183924E-2</v>
      </c>
      <c r="H29" s="88">
        <f>$D29*'Process-emission_LFS'!F$3</f>
        <v>2.4366165693199365E-2</v>
      </c>
      <c r="I29" s="88">
        <f>$D29*'Process-emission_LFS'!G$3</f>
        <v>2.2277637205210851E-2</v>
      </c>
      <c r="J29" s="92">
        <f>$D29*'Process-emission_LFS'!H$3</f>
        <v>2.0885284879885169E-2</v>
      </c>
    </row>
    <row r="30" spans="1:10" x14ac:dyDescent="0.25">
      <c r="A30" s="89">
        <v>52.071129999999997</v>
      </c>
      <c r="B30" s="65">
        <v>11.385047999999999</v>
      </c>
      <c r="C30" s="90">
        <v>39676.549509999997</v>
      </c>
      <c r="D30" s="91">
        <f t="shared" si="0"/>
        <v>1.1344987866833973E-2</v>
      </c>
      <c r="E30" s="88">
        <f>$D30*'Process-emission_LFS'!C$3</f>
        <v>5.1052445400752877E-2</v>
      </c>
      <c r="F30" s="88">
        <f>$D30*'Process-emission_LFS'!D$3</f>
        <v>3.9707457533918911E-2</v>
      </c>
      <c r="G30" s="88">
        <f>$D30*'Process-emission_LFS'!E$3</f>
        <v>4.7648949040702687E-2</v>
      </c>
      <c r="H30" s="88">
        <f>$D30*'Process-emission_LFS'!F$3</f>
        <v>3.9707457533918911E-2</v>
      </c>
      <c r="I30" s="88">
        <f>$D30*'Process-emission_LFS'!G$3</f>
        <v>3.6303961173868714E-2</v>
      </c>
      <c r="J30" s="92">
        <f>$D30*'Process-emission_LFS'!H$3</f>
        <v>3.403496360050192E-2</v>
      </c>
    </row>
    <row r="31" spans="1:10" x14ac:dyDescent="0.25">
      <c r="A31" s="89">
        <v>52.977111999999998</v>
      </c>
      <c r="B31" s="65">
        <v>10.558517999999999</v>
      </c>
      <c r="C31" s="90">
        <v>59204.25073</v>
      </c>
      <c r="D31" s="91">
        <f t="shared" si="0"/>
        <v>1.6928677379759539E-2</v>
      </c>
      <c r="E31" s="88">
        <f>$D31*'Process-emission_LFS'!C$3</f>
        <v>7.6179048208917924E-2</v>
      </c>
      <c r="F31" s="88">
        <f>$D31*'Process-emission_LFS'!D$3</f>
        <v>5.9250370829158391E-2</v>
      </c>
      <c r="G31" s="88">
        <f>$D31*'Process-emission_LFS'!E$3</f>
        <v>7.1100444994990075E-2</v>
      </c>
      <c r="H31" s="88">
        <f>$D31*'Process-emission_LFS'!F$3</f>
        <v>5.9250370829158391E-2</v>
      </c>
      <c r="I31" s="88">
        <f>$D31*'Process-emission_LFS'!G$3</f>
        <v>5.4171767615230529E-2</v>
      </c>
      <c r="J31" s="92">
        <f>$D31*'Process-emission_LFS'!H$3</f>
        <v>5.0786032139278618E-2</v>
      </c>
    </row>
    <row r="32" spans="1:10" x14ac:dyDescent="0.25">
      <c r="A32" s="89">
        <v>52.233195000000002</v>
      </c>
      <c r="B32" s="65">
        <v>10.034605000000001</v>
      </c>
      <c r="C32" s="90">
        <v>21039.195830000001</v>
      </c>
      <c r="D32" s="91">
        <f t="shared" si="0"/>
        <v>6.0158815312086333E-3</v>
      </c>
      <c r="E32" s="88">
        <f>$D32*'Process-emission_LFS'!C$3</f>
        <v>2.707146689043885E-2</v>
      </c>
      <c r="F32" s="88">
        <f>$D32*'Process-emission_LFS'!D$3</f>
        <v>2.1055585359230217E-2</v>
      </c>
      <c r="G32" s="88">
        <f>$D32*'Process-emission_LFS'!E$3</f>
        <v>2.526670243107626E-2</v>
      </c>
      <c r="H32" s="88">
        <f>$D32*'Process-emission_LFS'!F$3</f>
        <v>2.1055585359230217E-2</v>
      </c>
      <c r="I32" s="88">
        <f>$D32*'Process-emission_LFS'!G$3</f>
        <v>1.9250820899867627E-2</v>
      </c>
      <c r="J32" s="92">
        <f>$D32*'Process-emission_LFS'!H$3</f>
        <v>1.80476445936259E-2</v>
      </c>
    </row>
    <row r="33" spans="1:10" x14ac:dyDescent="0.25">
      <c r="A33" s="89">
        <v>51.205803000000003</v>
      </c>
      <c r="B33" s="65">
        <v>9.9074449999999992</v>
      </c>
      <c r="C33" s="90">
        <v>18357.120370000001</v>
      </c>
      <c r="D33" s="91">
        <f t="shared" si="0"/>
        <v>5.2489773037136464E-3</v>
      </c>
      <c r="E33" s="88">
        <f>$D33*'Process-emission_LFS'!C$3</f>
        <v>2.3620397866711409E-2</v>
      </c>
      <c r="F33" s="88">
        <f>$D33*'Process-emission_LFS'!D$3</f>
        <v>1.8371420562997762E-2</v>
      </c>
      <c r="G33" s="88">
        <f>$D33*'Process-emission_LFS'!E$3</f>
        <v>2.2045704675597317E-2</v>
      </c>
      <c r="H33" s="88">
        <f>$D33*'Process-emission_LFS'!F$3</f>
        <v>1.8371420562997762E-2</v>
      </c>
      <c r="I33" s="88">
        <f>$D33*'Process-emission_LFS'!G$3</f>
        <v>1.6796727371883671E-2</v>
      </c>
      <c r="J33" s="92">
        <f>$D33*'Process-emission_LFS'!H$3</f>
        <v>1.5746931911140939E-2</v>
      </c>
    </row>
    <row r="34" spans="1:10" x14ac:dyDescent="0.25">
      <c r="A34" s="89">
        <v>48.423419000000003</v>
      </c>
      <c r="B34" s="65">
        <v>9.9041779999999999</v>
      </c>
      <c r="C34" s="90">
        <v>54713.162629999999</v>
      </c>
      <c r="D34" s="91">
        <f t="shared" ref="D34:D53" si="1">C34/$C$54</f>
        <v>1.5644509763557409E-2</v>
      </c>
      <c r="E34" s="88">
        <f>$D34*'Process-emission_LFS'!C$3</f>
        <v>7.0400293936008343E-2</v>
      </c>
      <c r="F34" s="88">
        <f>$D34*'Process-emission_LFS'!D$3</f>
        <v>5.475578417245093E-2</v>
      </c>
      <c r="G34" s="88">
        <f>$D34*'Process-emission_LFS'!E$3</f>
        <v>6.5706941006941119E-2</v>
      </c>
      <c r="H34" s="88">
        <f>$D34*'Process-emission_LFS'!F$3</f>
        <v>5.475578417245093E-2</v>
      </c>
      <c r="I34" s="88">
        <f>$D34*'Process-emission_LFS'!G$3</f>
        <v>5.0062431243383713E-2</v>
      </c>
      <c r="J34" s="92">
        <f>$D34*'Process-emission_LFS'!H$3</f>
        <v>4.6933529290672224E-2</v>
      </c>
    </row>
    <row r="35" spans="1:10" x14ac:dyDescent="0.25">
      <c r="A35" s="89">
        <v>49.364916000000001</v>
      </c>
      <c r="B35" s="65">
        <v>11.604835</v>
      </c>
      <c r="C35" s="90">
        <v>18724.512849999999</v>
      </c>
      <c r="D35" s="91">
        <f t="shared" si="1"/>
        <v>5.3540283547612059E-3</v>
      </c>
      <c r="E35" s="88">
        <f>$D35*'Process-emission_LFS'!C$3</f>
        <v>2.4093127596425425E-2</v>
      </c>
      <c r="F35" s="88">
        <f>$D35*'Process-emission_LFS'!D$3</f>
        <v>1.8739099241664222E-2</v>
      </c>
      <c r="G35" s="88">
        <f>$D35*'Process-emission_LFS'!E$3</f>
        <v>2.2486919089997066E-2</v>
      </c>
      <c r="H35" s="88">
        <f>$D35*'Process-emission_LFS'!F$3</f>
        <v>1.8739099241664222E-2</v>
      </c>
      <c r="I35" s="88">
        <f>$D35*'Process-emission_LFS'!G$3</f>
        <v>1.713289073523586E-2</v>
      </c>
      <c r="J35" s="92">
        <f>$D35*'Process-emission_LFS'!H$3</f>
        <v>1.6062085064283617E-2</v>
      </c>
    </row>
    <row r="36" spans="1:10" x14ac:dyDescent="0.25">
      <c r="A36" s="89">
        <v>50.915255000000002</v>
      </c>
      <c r="B36" s="65">
        <v>6.3715789999999997</v>
      </c>
      <c r="C36" s="90">
        <v>66448.024269999994</v>
      </c>
      <c r="D36" s="91">
        <f t="shared" si="1"/>
        <v>1.8999939219216631E-2</v>
      </c>
      <c r="E36" s="88">
        <f>$D36*'Process-emission_LFS'!C$3</f>
        <v>8.5499726486474845E-2</v>
      </c>
      <c r="F36" s="88">
        <f>$D36*'Process-emission_LFS'!D$3</f>
        <v>6.6499787267258206E-2</v>
      </c>
      <c r="G36" s="88">
        <f>$D36*'Process-emission_LFS'!E$3</f>
        <v>7.9799744720709859E-2</v>
      </c>
      <c r="H36" s="88">
        <f>$D36*'Process-emission_LFS'!F$3</f>
        <v>6.6499787267258206E-2</v>
      </c>
      <c r="I36" s="88">
        <f>$D36*'Process-emission_LFS'!G$3</f>
        <v>6.079980550149322E-2</v>
      </c>
      <c r="J36" s="92">
        <f>$D36*'Process-emission_LFS'!H$3</f>
        <v>5.6999817657649894E-2</v>
      </c>
    </row>
    <row r="37" spans="1:10" x14ac:dyDescent="0.25">
      <c r="A37" s="89">
        <v>50.657406000000002</v>
      </c>
      <c r="B37" s="65">
        <v>6.8105380000000002</v>
      </c>
      <c r="C37" s="90">
        <v>32608.197609999999</v>
      </c>
      <c r="D37" s="91">
        <f t="shared" si="1"/>
        <v>9.323885539783033E-3</v>
      </c>
      <c r="E37" s="88">
        <f>$D37*'Process-emission_LFS'!C$3</f>
        <v>4.1957484929023646E-2</v>
      </c>
      <c r="F37" s="88">
        <f>$D37*'Process-emission_LFS'!D$3</f>
        <v>3.2633599389240618E-2</v>
      </c>
      <c r="G37" s="88">
        <f>$D37*'Process-emission_LFS'!E$3</f>
        <v>3.9160319267088739E-2</v>
      </c>
      <c r="H37" s="88">
        <f>$D37*'Process-emission_LFS'!F$3</f>
        <v>3.2633599389240618E-2</v>
      </c>
      <c r="I37" s="88">
        <f>$D37*'Process-emission_LFS'!G$3</f>
        <v>2.9836433727305708E-2</v>
      </c>
      <c r="J37" s="92">
        <f>$D37*'Process-emission_LFS'!H$3</f>
        <v>2.7971656619349097E-2</v>
      </c>
    </row>
    <row r="38" spans="1:10" x14ac:dyDescent="0.25">
      <c r="A38" s="89">
        <v>51.985916000000003</v>
      </c>
      <c r="B38" s="65">
        <v>8.8075480000000006</v>
      </c>
      <c r="C38" s="90">
        <v>16806.643179999999</v>
      </c>
      <c r="D38" s="91">
        <f t="shared" si="1"/>
        <v>4.8056387290243462E-3</v>
      </c>
      <c r="E38" s="88">
        <f>$D38*'Process-emission_LFS'!C$3</f>
        <v>2.1625374280609559E-2</v>
      </c>
      <c r="F38" s="88">
        <f>$D38*'Process-emission_LFS'!D$3</f>
        <v>1.681973555158521E-2</v>
      </c>
      <c r="G38" s="88">
        <f>$D38*'Process-emission_LFS'!E$3</f>
        <v>2.0183682661902253E-2</v>
      </c>
      <c r="H38" s="88">
        <f>$D38*'Process-emission_LFS'!F$3</f>
        <v>1.681973555158521E-2</v>
      </c>
      <c r="I38" s="88">
        <f>$D38*'Process-emission_LFS'!G$3</f>
        <v>1.5378043932877908E-2</v>
      </c>
      <c r="J38" s="92">
        <f>$D38*'Process-emission_LFS'!H$3</f>
        <v>1.4416916187073039E-2</v>
      </c>
    </row>
    <row r="39" spans="1:10" x14ac:dyDescent="0.25">
      <c r="A39" s="89">
        <v>51.729120999999999</v>
      </c>
      <c r="B39" s="65">
        <v>6.3590609999999996</v>
      </c>
      <c r="C39" s="90">
        <v>16591.13567</v>
      </c>
      <c r="D39" s="91">
        <f t="shared" si="1"/>
        <v>4.7440171889369101E-3</v>
      </c>
      <c r="E39" s="88">
        <f>$D39*'Process-emission_LFS'!C$3</f>
        <v>2.1348077350216096E-2</v>
      </c>
      <c r="F39" s="88">
        <f>$D39*'Process-emission_LFS'!D$3</f>
        <v>1.6604060161279185E-2</v>
      </c>
      <c r="G39" s="88">
        <f>$D39*'Process-emission_LFS'!E$3</f>
        <v>1.9924872193535025E-2</v>
      </c>
      <c r="H39" s="88">
        <f>$D39*'Process-emission_LFS'!F$3</f>
        <v>1.6604060161279185E-2</v>
      </c>
      <c r="I39" s="88">
        <f>$D39*'Process-emission_LFS'!G$3</f>
        <v>1.5180855004598114E-2</v>
      </c>
      <c r="J39" s="92">
        <f>$D39*'Process-emission_LFS'!H$3</f>
        <v>1.4232051566810729E-2</v>
      </c>
    </row>
    <row r="40" spans="1:10" x14ac:dyDescent="0.25">
      <c r="A40" s="89">
        <v>51.698058000000003</v>
      </c>
      <c r="B40" s="65">
        <v>11.757585000000001</v>
      </c>
      <c r="C40" s="90">
        <v>40453.259140000002</v>
      </c>
      <c r="D40" s="91">
        <f t="shared" si="1"/>
        <v>1.1567077777303186E-2</v>
      </c>
      <c r="E40" s="88">
        <f>$D40*'Process-emission_LFS'!C$3</f>
        <v>5.2051849997864337E-2</v>
      </c>
      <c r="F40" s="88">
        <f>$D40*'Process-emission_LFS'!D$3</f>
        <v>4.0484772220561148E-2</v>
      </c>
      <c r="G40" s="88">
        <f>$D40*'Process-emission_LFS'!E$3</f>
        <v>4.8581726664673384E-2</v>
      </c>
      <c r="H40" s="88">
        <f>$D40*'Process-emission_LFS'!F$3</f>
        <v>4.0484772220561148E-2</v>
      </c>
      <c r="I40" s="88">
        <f>$D40*'Process-emission_LFS'!G$3</f>
        <v>3.7014648887370195E-2</v>
      </c>
      <c r="J40" s="92">
        <f>$D40*'Process-emission_LFS'!H$3</f>
        <v>3.4701233331909553E-2</v>
      </c>
    </row>
    <row r="41" spans="1:10" x14ac:dyDescent="0.25">
      <c r="A41" s="89">
        <v>51.597330999999997</v>
      </c>
      <c r="B41" s="65">
        <v>8.3411760000000008</v>
      </c>
      <c r="C41" s="90">
        <v>44793.93331</v>
      </c>
      <c r="D41" s="91">
        <f t="shared" si="1"/>
        <v>1.2808236507099434E-2</v>
      </c>
      <c r="E41" s="88">
        <f>$D41*'Process-emission_LFS'!C$3</f>
        <v>5.7637064281947453E-2</v>
      </c>
      <c r="F41" s="88">
        <f>$D41*'Process-emission_LFS'!D$3</f>
        <v>4.4828827774848021E-2</v>
      </c>
      <c r="G41" s="88">
        <f>$D41*'Process-emission_LFS'!E$3</f>
        <v>5.3794593329817626E-2</v>
      </c>
      <c r="H41" s="88">
        <f>$D41*'Process-emission_LFS'!F$3</f>
        <v>4.4828827774848021E-2</v>
      </c>
      <c r="I41" s="88">
        <f>$D41*'Process-emission_LFS'!G$3</f>
        <v>4.0986356822718194E-2</v>
      </c>
      <c r="J41" s="92">
        <f>$D41*'Process-emission_LFS'!H$3</f>
        <v>3.8424709521298304E-2</v>
      </c>
    </row>
    <row r="42" spans="1:10" x14ac:dyDescent="0.25">
      <c r="A42" s="89">
        <v>52.169490000000003</v>
      </c>
      <c r="B42" s="65">
        <v>14.626637000000001</v>
      </c>
      <c r="C42" s="90">
        <v>56280.556790000002</v>
      </c>
      <c r="D42" s="91">
        <f t="shared" si="1"/>
        <v>1.6092685523479897E-2</v>
      </c>
      <c r="E42" s="88">
        <f>$D42*'Process-emission_LFS'!C$3</f>
        <v>7.2417084855659536E-2</v>
      </c>
      <c r="F42" s="88">
        <f>$D42*'Process-emission_LFS'!D$3</f>
        <v>5.6324399332179642E-2</v>
      </c>
      <c r="G42" s="88">
        <f>$D42*'Process-emission_LFS'!E$3</f>
        <v>6.7589279198615571E-2</v>
      </c>
      <c r="H42" s="88">
        <f>$D42*'Process-emission_LFS'!F$3</f>
        <v>5.6324399332179642E-2</v>
      </c>
      <c r="I42" s="88">
        <f>$D42*'Process-emission_LFS'!G$3</f>
        <v>5.1496593675135677E-2</v>
      </c>
      <c r="J42" s="92">
        <f>$D42*'Process-emission_LFS'!H$3</f>
        <v>4.8278056570439695E-2</v>
      </c>
    </row>
    <row r="43" spans="1:10" x14ac:dyDescent="0.25">
      <c r="A43" s="89">
        <v>50.944513999999998</v>
      </c>
      <c r="B43" s="65">
        <v>11.988065000000001</v>
      </c>
      <c r="C43" s="90">
        <v>25597.2163</v>
      </c>
      <c r="D43" s="91">
        <f t="shared" si="1"/>
        <v>7.3191875789257567E-3</v>
      </c>
      <c r="E43" s="88">
        <f>$D43*'Process-emission_LFS'!C$3</f>
        <v>3.2936344105165903E-2</v>
      </c>
      <c r="F43" s="88">
        <f>$D43*'Process-emission_LFS'!D$3</f>
        <v>2.5617156526240147E-2</v>
      </c>
      <c r="G43" s="88">
        <f>$D43*'Process-emission_LFS'!E$3</f>
        <v>3.074058783148818E-2</v>
      </c>
      <c r="H43" s="88">
        <f>$D43*'Process-emission_LFS'!F$3</f>
        <v>2.5617156526240147E-2</v>
      </c>
      <c r="I43" s="88">
        <f>$D43*'Process-emission_LFS'!G$3</f>
        <v>2.3421400252562424E-2</v>
      </c>
      <c r="J43" s="92">
        <f>$D43*'Process-emission_LFS'!H$3</f>
        <v>2.1957562736777271E-2</v>
      </c>
    </row>
    <row r="44" spans="1:10" x14ac:dyDescent="0.25">
      <c r="A44" s="89">
        <v>53.853903000000003</v>
      </c>
      <c r="B44" s="65">
        <v>13.708684</v>
      </c>
      <c r="C44" s="90">
        <v>30446.50289</v>
      </c>
      <c r="D44" s="91">
        <f t="shared" si="1"/>
        <v>8.7057773455707817E-3</v>
      </c>
      <c r="E44" s="88">
        <f>$D44*'Process-emission_LFS'!C$3</f>
        <v>3.9175998055068516E-2</v>
      </c>
      <c r="F44" s="88">
        <f>$D44*'Process-emission_LFS'!D$3</f>
        <v>3.0470220709497738E-2</v>
      </c>
      <c r="G44" s="88">
        <f>$D44*'Process-emission_LFS'!E$3</f>
        <v>3.6564264851397285E-2</v>
      </c>
      <c r="H44" s="88">
        <f>$D44*'Process-emission_LFS'!F$3</f>
        <v>3.0470220709497738E-2</v>
      </c>
      <c r="I44" s="88">
        <f>$D44*'Process-emission_LFS'!G$3</f>
        <v>2.7858487505826503E-2</v>
      </c>
      <c r="J44" s="92">
        <f>$D44*'Process-emission_LFS'!H$3</f>
        <v>2.6117332036712345E-2</v>
      </c>
    </row>
    <row r="45" spans="1:10" x14ac:dyDescent="0.25">
      <c r="A45" s="89">
        <v>51.491359000000003</v>
      </c>
      <c r="B45" s="65">
        <v>9.1656840000000006</v>
      </c>
      <c r="C45" s="90">
        <v>12539.1533</v>
      </c>
      <c r="D45" s="91">
        <f t="shared" si="1"/>
        <v>3.5854060850986332E-3</v>
      </c>
      <c r="E45" s="88">
        <f>$D45*'Process-emission_LFS'!C$3</f>
        <v>1.6134327382943851E-2</v>
      </c>
      <c r="F45" s="88">
        <f>$D45*'Process-emission_LFS'!D$3</f>
        <v>1.2548921297845217E-2</v>
      </c>
      <c r="G45" s="88">
        <f>$D45*'Process-emission_LFS'!E$3</f>
        <v>1.5058705557414259E-2</v>
      </c>
      <c r="H45" s="88">
        <f>$D45*'Process-emission_LFS'!F$3</f>
        <v>1.2548921297845217E-2</v>
      </c>
      <c r="I45" s="88">
        <f>$D45*'Process-emission_LFS'!G$3</f>
        <v>1.1473299472315627E-2</v>
      </c>
      <c r="J45" s="92">
        <f>$D45*'Process-emission_LFS'!H$3</f>
        <v>1.07562182552959E-2</v>
      </c>
    </row>
    <row r="46" spans="1:10" x14ac:dyDescent="0.25">
      <c r="A46" s="89">
        <v>51.102179999999997</v>
      </c>
      <c r="B46" s="65">
        <v>9.3601209999999995</v>
      </c>
      <c r="C46" s="90">
        <v>15479.764209999999</v>
      </c>
      <c r="D46" s="91">
        <f t="shared" si="1"/>
        <v>4.4262351266114624E-3</v>
      </c>
      <c r="E46" s="88">
        <f>$D46*'Process-emission_LFS'!C$3</f>
        <v>1.9918058069751582E-2</v>
      </c>
      <c r="F46" s="88">
        <f>$D46*'Process-emission_LFS'!D$3</f>
        <v>1.5491822943140119E-2</v>
      </c>
      <c r="G46" s="88">
        <f>$D46*'Process-emission_LFS'!E$3</f>
        <v>1.8590187531768141E-2</v>
      </c>
      <c r="H46" s="88">
        <f>$D46*'Process-emission_LFS'!F$3</f>
        <v>1.5491822943140119E-2</v>
      </c>
      <c r="I46" s="88">
        <f>$D46*'Process-emission_LFS'!G$3</f>
        <v>1.416395240515668E-2</v>
      </c>
      <c r="J46" s="92">
        <f>$D46*'Process-emission_LFS'!H$3</f>
        <v>1.3278705379834388E-2</v>
      </c>
    </row>
    <row r="47" spans="1:10" x14ac:dyDescent="0.25">
      <c r="A47" s="89">
        <v>49.243552000000001</v>
      </c>
      <c r="B47" s="65">
        <v>9.1805129999999995</v>
      </c>
      <c r="C47" s="90">
        <v>28257.59391</v>
      </c>
      <c r="D47" s="91">
        <f t="shared" si="1"/>
        <v>8.0798875913862603E-3</v>
      </c>
      <c r="E47" s="88">
        <f>$D47*'Process-emission_LFS'!C$3</f>
        <v>3.6359494161238168E-2</v>
      </c>
      <c r="F47" s="88">
        <f>$D47*'Process-emission_LFS'!D$3</f>
        <v>2.8279606569851911E-2</v>
      </c>
      <c r="G47" s="88">
        <f>$D47*'Process-emission_LFS'!E$3</f>
        <v>3.3935527883822293E-2</v>
      </c>
      <c r="H47" s="88">
        <f>$D47*'Process-emission_LFS'!F$3</f>
        <v>2.8279606569851911E-2</v>
      </c>
      <c r="I47" s="88">
        <f>$D47*'Process-emission_LFS'!G$3</f>
        <v>2.5855640292436033E-2</v>
      </c>
      <c r="J47" s="92">
        <f>$D47*'Process-emission_LFS'!H$3</f>
        <v>2.4239662774158781E-2</v>
      </c>
    </row>
    <row r="48" spans="1:10" x14ac:dyDescent="0.25">
      <c r="A48" s="89">
        <v>49.665720999999998</v>
      </c>
      <c r="B48" s="65">
        <v>10.080456999999999</v>
      </c>
      <c r="C48" s="90">
        <v>53322.661139999997</v>
      </c>
      <c r="D48" s="91">
        <f t="shared" si="1"/>
        <v>1.524691413773595E-2</v>
      </c>
      <c r="E48" s="88">
        <f>$D48*'Process-emission_LFS'!C$3</f>
        <v>6.8611113619811773E-2</v>
      </c>
      <c r="F48" s="88">
        <f>$D48*'Process-emission_LFS'!D$3</f>
        <v>5.3364199482075825E-2</v>
      </c>
      <c r="G48" s="88">
        <f>$D48*'Process-emission_LFS'!E$3</f>
        <v>6.4037039378490992E-2</v>
      </c>
      <c r="H48" s="88">
        <f>$D48*'Process-emission_LFS'!F$3</f>
        <v>5.3364199482075825E-2</v>
      </c>
      <c r="I48" s="88">
        <f>$D48*'Process-emission_LFS'!G$3</f>
        <v>4.8790125240755045E-2</v>
      </c>
      <c r="J48" s="92">
        <f>$D48*'Process-emission_LFS'!H$3</f>
        <v>4.5740742413207851E-2</v>
      </c>
    </row>
    <row r="49" spans="1:10" x14ac:dyDescent="0.25">
      <c r="A49" s="89">
        <v>51.053932000000003</v>
      </c>
      <c r="B49" s="65">
        <v>12.110927</v>
      </c>
      <c r="C49" s="90">
        <v>104082.4011</v>
      </c>
      <c r="D49" s="91">
        <f t="shared" si="1"/>
        <v>2.9760994648308243E-2</v>
      </c>
      <c r="E49" s="88">
        <f>$D49*'Process-emission_LFS'!C$3</f>
        <v>0.1339244759173871</v>
      </c>
      <c r="F49" s="88">
        <f>$D49*'Process-emission_LFS'!D$3</f>
        <v>0.10416348126907884</v>
      </c>
      <c r="G49" s="88">
        <f>$D49*'Process-emission_LFS'!E$3</f>
        <v>0.12499617752289463</v>
      </c>
      <c r="H49" s="88">
        <f>$D49*'Process-emission_LFS'!F$3</f>
        <v>0.10416348126907884</v>
      </c>
      <c r="I49" s="88">
        <f>$D49*'Process-emission_LFS'!G$3</f>
        <v>9.5235182874586377E-2</v>
      </c>
      <c r="J49" s="92">
        <f>$D49*'Process-emission_LFS'!H$3</f>
        <v>8.9282983944924732E-2</v>
      </c>
    </row>
    <row r="50" spans="1:10" x14ac:dyDescent="0.25">
      <c r="A50" s="89">
        <v>51.459828999999999</v>
      </c>
      <c r="B50" s="65">
        <v>13.223212999999999</v>
      </c>
      <c r="C50" s="90">
        <v>26630.254830000002</v>
      </c>
      <c r="D50" s="91">
        <f t="shared" si="1"/>
        <v>7.6145713694408109E-3</v>
      </c>
      <c r="E50" s="88">
        <f>$D50*'Process-emission_LFS'!C$3</f>
        <v>3.4265571162483646E-2</v>
      </c>
      <c r="F50" s="88">
        <f>$D50*'Process-emission_LFS'!D$3</f>
        <v>2.6650999793042838E-2</v>
      </c>
      <c r="G50" s="88">
        <f>$D50*'Process-emission_LFS'!E$3</f>
        <v>3.198119975165141E-2</v>
      </c>
      <c r="H50" s="88">
        <f>$D50*'Process-emission_LFS'!F$3</f>
        <v>2.6650999793042838E-2</v>
      </c>
      <c r="I50" s="88">
        <f>$D50*'Process-emission_LFS'!G$3</f>
        <v>2.4366628382210598E-2</v>
      </c>
      <c r="J50" s="92">
        <f>$D50*'Process-emission_LFS'!H$3</f>
        <v>2.2843714108322432E-2</v>
      </c>
    </row>
    <row r="51" spans="1:10" x14ac:dyDescent="0.25">
      <c r="A51" s="89">
        <v>48.69791</v>
      </c>
      <c r="B51" s="65">
        <v>10.909583</v>
      </c>
      <c r="C51" s="90">
        <v>29292.471239999999</v>
      </c>
      <c r="D51" s="91">
        <f t="shared" si="1"/>
        <v>8.3757971625941195E-3</v>
      </c>
      <c r="E51" s="88">
        <f>$D51*'Process-emission_LFS'!C$3</f>
        <v>3.769108723167354E-2</v>
      </c>
      <c r="F51" s="88">
        <f>$D51*'Process-emission_LFS'!D$3</f>
        <v>2.9315290069079417E-2</v>
      </c>
      <c r="G51" s="88">
        <f>$D51*'Process-emission_LFS'!E$3</f>
        <v>3.5178348082895307E-2</v>
      </c>
      <c r="H51" s="88">
        <f>$D51*'Process-emission_LFS'!F$3</f>
        <v>2.9315290069079417E-2</v>
      </c>
      <c r="I51" s="88">
        <f>$D51*'Process-emission_LFS'!G$3</f>
        <v>2.6802550920301184E-2</v>
      </c>
      <c r="J51" s="92">
        <f>$D51*'Process-emission_LFS'!H$3</f>
        <v>2.5127391487782359E-2</v>
      </c>
    </row>
    <row r="52" spans="1:10" x14ac:dyDescent="0.25">
      <c r="A52" s="89">
        <v>49.599576999999996</v>
      </c>
      <c r="B52" s="65">
        <v>8.2196610000000003</v>
      </c>
      <c r="C52" s="90">
        <v>52502.923560000003</v>
      </c>
      <c r="D52" s="91">
        <f t="shared" si="1"/>
        <v>1.5012520950476966E-2</v>
      </c>
      <c r="E52" s="88">
        <f>$D52*'Process-emission_LFS'!C$3</f>
        <v>6.7556344277146352E-2</v>
      </c>
      <c r="F52" s="88">
        <f>$D52*'Process-emission_LFS'!D$3</f>
        <v>5.2543823326669382E-2</v>
      </c>
      <c r="G52" s="88">
        <f>$D52*'Process-emission_LFS'!E$3</f>
        <v>6.3052587992003264E-2</v>
      </c>
      <c r="H52" s="88">
        <f>$D52*'Process-emission_LFS'!F$3</f>
        <v>5.2543823326669382E-2</v>
      </c>
      <c r="I52" s="88">
        <f>$D52*'Process-emission_LFS'!G$3</f>
        <v>4.8040067041526295E-2</v>
      </c>
      <c r="J52" s="92">
        <f>$D52*'Process-emission_LFS'!H$3</f>
        <v>4.5037562851430901E-2</v>
      </c>
    </row>
    <row r="53" spans="1:10" ht="15" customHeight="1" thickBot="1" x14ac:dyDescent="0.3">
      <c r="A53" s="93">
        <v>48.786760000000001</v>
      </c>
      <c r="B53" s="94">
        <v>12.882771</v>
      </c>
      <c r="C53" s="95">
        <v>46180.389430000003</v>
      </c>
      <c r="D53" s="96">
        <f t="shared" si="1"/>
        <v>1.3204675412537352E-2</v>
      </c>
      <c r="E53" s="97">
        <f>$D53*'Process-emission_LFS'!C$3</f>
        <v>5.9421039356418084E-2</v>
      </c>
      <c r="F53" s="97">
        <f>$D53*'Process-emission_LFS'!D$3</f>
        <v>4.6216363943880734E-2</v>
      </c>
      <c r="G53" s="97">
        <f>$D53*'Process-emission_LFS'!E$3</f>
        <v>5.5459636732656879E-2</v>
      </c>
      <c r="H53" s="97">
        <f>$D53*'Process-emission_LFS'!F$3</f>
        <v>4.6216363943880734E-2</v>
      </c>
      <c r="I53" s="97">
        <f>$D53*'Process-emission_LFS'!G$3</f>
        <v>4.2254961320119529E-2</v>
      </c>
      <c r="J53" s="98">
        <f>$D53*'Process-emission_LFS'!H$3</f>
        <v>3.9614026237612059E-2</v>
      </c>
    </row>
    <row r="54" spans="1:10" ht="15" customHeight="1" thickBot="1" x14ac:dyDescent="0.3">
      <c r="A54" s="80"/>
      <c r="B54" s="42" t="s">
        <v>75</v>
      </c>
      <c r="C54" s="42">
        <f t="shared" ref="C54:J54" si="2">SUM(C2:C53)</f>
        <v>3497275.6230080011</v>
      </c>
      <c r="D54" s="42">
        <f t="shared" si="2"/>
        <v>0.99999999999999944</v>
      </c>
      <c r="E54" s="42">
        <f t="shared" si="2"/>
        <v>4.4999999999999982</v>
      </c>
      <c r="F54" s="42">
        <f t="shared" si="2"/>
        <v>3.4999999999999996</v>
      </c>
      <c r="G54" s="42">
        <f t="shared" si="2"/>
        <v>4.1999999999999984</v>
      </c>
      <c r="H54" s="42">
        <f t="shared" si="2"/>
        <v>3.4999999999999996</v>
      </c>
      <c r="I54" s="42">
        <f t="shared" si="2"/>
        <v>3.1999999999999997</v>
      </c>
      <c r="J54" s="43">
        <f t="shared" si="2"/>
        <v>2.9999999999999982</v>
      </c>
    </row>
    <row r="55" spans="1:10" x14ac:dyDescent="0.25">
      <c r="D55" s="99"/>
      <c r="E55" s="99"/>
      <c r="F55" s="99"/>
      <c r="G55" s="99"/>
      <c r="H55" s="99"/>
      <c r="I55" s="99"/>
      <c r="J55" s="99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6"/>
  <sheetViews>
    <sheetView workbookViewId="0">
      <selection sqref="A1:K55"/>
    </sheetView>
  </sheetViews>
  <sheetFormatPr baseColWidth="10" defaultRowHeight="15" x14ac:dyDescent="0.25"/>
  <cols>
    <col min="1" max="2" width="12" bestFit="1" customWidth="1"/>
    <col min="3" max="3" width="20.7109375" bestFit="1" customWidth="1"/>
    <col min="4" max="11" width="12.7109375" customWidth="1"/>
  </cols>
  <sheetData>
    <row r="1" spans="1:11" ht="15.6" customHeight="1" thickBot="1" x14ac:dyDescent="0.3">
      <c r="A1" s="76" t="s">
        <v>72</v>
      </c>
      <c r="B1" s="77" t="s">
        <v>77</v>
      </c>
      <c r="C1" s="77" t="s">
        <v>11</v>
      </c>
      <c r="D1" s="77" t="s">
        <v>74</v>
      </c>
      <c r="E1" s="78">
        <v>2021</v>
      </c>
      <c r="F1" s="78">
        <v>2025</v>
      </c>
      <c r="G1" s="78">
        <v>2030</v>
      </c>
      <c r="H1" s="78">
        <v>2035</v>
      </c>
      <c r="I1" s="78">
        <v>2040</v>
      </c>
      <c r="J1" s="78">
        <v>2045</v>
      </c>
      <c r="K1" s="79">
        <v>2050</v>
      </c>
    </row>
    <row r="2" spans="1:11" x14ac:dyDescent="0.25">
      <c r="A2" s="13">
        <v>51.581963170000002</v>
      </c>
      <c r="B2">
        <v>13.977446479999999</v>
      </c>
      <c r="C2" s="21">
        <v>256946.1819</v>
      </c>
      <c r="D2" s="61">
        <f t="shared" ref="D2:D33" si="0">C2/$C$56</f>
        <v>1.4739163235772975E-2</v>
      </c>
      <c r="E2" s="69"/>
      <c r="F2" s="3">
        <f>MVA_O_Strom!$D2*ABS(Abbildungen!J$35)</f>
        <v>8.7476149080344054E-3</v>
      </c>
      <c r="G2" s="3">
        <f>MVA_O_Strom!$D2*ABS(Abbildungen!K$35)</f>
        <v>5.0956849270515824E-2</v>
      </c>
      <c r="H2" s="3">
        <f>MVA_O_Strom!$D2*ABS(Abbildungen!L$35)</f>
        <v>0.12484944419647698</v>
      </c>
      <c r="I2" s="3">
        <f>MVA_O_Strom!$D2*ABS(Abbildungen!M$35)</f>
        <v>0.18494768013298163</v>
      </c>
      <c r="J2" s="3">
        <f>MVA_O_Strom!$D2*ABS(Abbildungen!N$35)</f>
        <v>0.25694617453336632</v>
      </c>
      <c r="K2" s="19">
        <f>MVA_O_Strom!$D2*ABS(Abbildungen!O$35)</f>
        <v>0.25694617453336632</v>
      </c>
    </row>
    <row r="3" spans="1:11" x14ac:dyDescent="0.25">
      <c r="A3" s="13">
        <v>51.329938990000002</v>
      </c>
      <c r="B3">
        <v>11.995801500000001</v>
      </c>
      <c r="C3" s="21">
        <v>410709.2513</v>
      </c>
      <c r="D3" s="61">
        <f t="shared" si="0"/>
        <v>2.355944989176274E-2</v>
      </c>
      <c r="E3" s="69"/>
      <c r="F3" s="3">
        <f>MVA_O_Strom!$D3*ABS(Abbildungen!J$35)</f>
        <v>1.3982408078504822E-2</v>
      </c>
      <c r="G3" s="3">
        <f>MVA_O_Strom!$D3*ABS(Abbildungen!K$35)</f>
        <v>8.1450711809547646E-2</v>
      </c>
      <c r="H3" s="3">
        <f>MVA_O_Strom!$D3*ABS(Abbildungen!L$35)</f>
        <v>0.19956249737586076</v>
      </c>
      <c r="I3" s="3">
        <f>MVA_O_Strom!$D3*ABS(Abbildungen!M$35)</f>
        <v>0.2956250319635077</v>
      </c>
      <c r="J3" s="3">
        <f>MVA_O_Strom!$D3*ABS(Abbildungen!N$35)</f>
        <v>0.41070923952498711</v>
      </c>
      <c r="K3" s="19">
        <f>MVA_O_Strom!$D3*ABS(Abbildungen!O$35)</f>
        <v>0.41070923952498711</v>
      </c>
    </row>
    <row r="4" spans="1:11" x14ac:dyDescent="0.25">
      <c r="A4" s="13">
        <v>51.181555469999999</v>
      </c>
      <c r="B4">
        <v>12.019452920000001</v>
      </c>
      <c r="C4" s="21">
        <v>320676.9278</v>
      </c>
      <c r="D4" s="61">
        <f t="shared" si="0"/>
        <v>1.8394939943609977E-2</v>
      </c>
      <c r="E4" s="69"/>
      <c r="F4" s="3">
        <f>MVA_O_Strom!$D4*ABS(Abbildungen!J$35)</f>
        <v>1.0917298920509676E-2</v>
      </c>
      <c r="G4" s="3">
        <f>MVA_O_Strom!$D4*ABS(Abbildungen!K$35)</f>
        <v>6.3595752828879401E-2</v>
      </c>
      <c r="H4" s="3">
        <f>MVA_O_Strom!$D4*ABS(Abbildungen!L$35)</f>
        <v>0.15581603862105795</v>
      </c>
      <c r="I4" s="3">
        <f>MVA_O_Strom!$D4*ABS(Abbildungen!M$35)</f>
        <v>0.23082052992662758</v>
      </c>
      <c r="J4" s="3">
        <f>MVA_O_Strom!$D4*ABS(Abbildungen!N$35)</f>
        <v>0.32067691860620912</v>
      </c>
      <c r="K4" s="19">
        <f>MVA_O_Strom!$D4*ABS(Abbildungen!O$35)</f>
        <v>0.32067691860620912</v>
      </c>
    </row>
    <row r="5" spans="1:11" x14ac:dyDescent="0.25">
      <c r="A5" s="13">
        <v>52.529038249999999</v>
      </c>
      <c r="B5">
        <v>13.237915490000001</v>
      </c>
      <c r="C5" s="21">
        <v>453196.41519999999</v>
      </c>
      <c r="D5" s="61">
        <f t="shared" si="0"/>
        <v>2.5996634361741978E-2</v>
      </c>
      <c r="E5" s="69"/>
      <c r="F5" s="3">
        <f>MVA_O_Strom!$D5*ABS(Abbildungen!J$35)</f>
        <v>1.5428864085686849E-2</v>
      </c>
      <c r="G5" s="3">
        <f>MVA_O_Strom!$D5*ABS(Abbildungen!K$35)</f>
        <v>8.9876647508512778E-2</v>
      </c>
      <c r="H5" s="3">
        <f>MVA_O_Strom!$D5*ABS(Abbildungen!L$35)</f>
        <v>0.22020689364271814</v>
      </c>
      <c r="I5" s="3">
        <f>MVA_O_Strom!$D5*ABS(Abbildungen!M$35)</f>
        <v>0.32620693180194527</v>
      </c>
      <c r="J5" s="3">
        <f>MVA_O_Strom!$D5*ABS(Abbildungen!N$35)</f>
        <v>0.45319640220688229</v>
      </c>
      <c r="K5" s="19">
        <f>MVA_O_Strom!$D5*ABS(Abbildungen!O$35)</f>
        <v>0.45319640220688229</v>
      </c>
    </row>
    <row r="6" spans="1:11" x14ac:dyDescent="0.25">
      <c r="A6" s="13">
        <v>52.527691320000002</v>
      </c>
      <c r="B6">
        <v>12.35903072</v>
      </c>
      <c r="C6" s="21">
        <v>150728.272</v>
      </c>
      <c r="D6" s="61">
        <f t="shared" si="0"/>
        <v>8.6462020522204506E-3</v>
      </c>
      <c r="E6" s="69"/>
      <c r="F6" s="3">
        <f>MVA_O_Strom!$D6*ABS(Abbildungen!J$35)</f>
        <v>5.1314748849726538E-3</v>
      </c>
      <c r="G6" s="3">
        <f>MVA_O_Strom!$D6*ABS(Abbildungen!K$35)</f>
        <v>2.9892009993355388E-2</v>
      </c>
      <c r="H6" s="3">
        <f>MVA_O_Strom!$D6*ABS(Abbildungen!L$35)</f>
        <v>7.3238453456448901E-2</v>
      </c>
      <c r="I6" s="3">
        <f>MVA_O_Strom!$D6*ABS(Abbildungen!M$35)</f>
        <v>0.10849293042891894</v>
      </c>
      <c r="J6" s="3">
        <f>MVA_O_Strom!$D6*ABS(Abbildungen!N$35)</f>
        <v>0.15072826767862826</v>
      </c>
      <c r="K6" s="19">
        <f>MVA_O_Strom!$D6*ABS(Abbildungen!O$35)</f>
        <v>0.15072826767862826</v>
      </c>
    </row>
    <row r="7" spans="1:11" x14ac:dyDescent="0.25">
      <c r="A7" s="13">
        <v>52.490654050000003</v>
      </c>
      <c r="B7">
        <v>13.830789599999999</v>
      </c>
      <c r="C7" s="21">
        <v>287294.15610000002</v>
      </c>
      <c r="D7" s="61">
        <f t="shared" si="0"/>
        <v>1.6480009284938681E-2</v>
      </c>
      <c r="E7" s="69"/>
      <c r="F7" s="3">
        <f>MVA_O_Strom!$D7*ABS(Abbildungen!J$35)</f>
        <v>9.7807977698209352E-3</v>
      </c>
      <c r="G7" s="3">
        <f>MVA_O_Strom!$D7*ABS(Abbildungen!K$35)</f>
        <v>5.6975374766943553E-2</v>
      </c>
      <c r="H7" s="3">
        <f>MVA_O_Strom!$D7*ABS(Abbildungen!L$35)</f>
        <v>0.13959544152300518</v>
      </c>
      <c r="I7" s="3">
        <f>MVA_O_Strom!$D7*ABS(Abbildungen!M$35)</f>
        <v>0.20679189429301148</v>
      </c>
      <c r="J7" s="3">
        <f>MVA_O_Strom!$D7*ABS(Abbildungen!N$35)</f>
        <v>0.28729414786329149</v>
      </c>
      <c r="K7" s="19">
        <f>MVA_O_Strom!$D7*ABS(Abbildungen!O$35)</f>
        <v>0.28729414786329149</v>
      </c>
    </row>
    <row r="8" spans="1:11" x14ac:dyDescent="0.25">
      <c r="A8" s="13">
        <v>52.172577789999998</v>
      </c>
      <c r="B8">
        <v>14.64052652</v>
      </c>
      <c r="C8" s="21">
        <v>347990.10460000002</v>
      </c>
      <c r="D8" s="61">
        <f t="shared" si="0"/>
        <v>1.9961701389006367E-2</v>
      </c>
      <c r="E8" s="69"/>
      <c r="F8" s="3">
        <f>MVA_O_Strom!$D8*ABS(Abbildungen!J$35)</f>
        <v>1.1847163496798442E-2</v>
      </c>
      <c r="G8" s="3">
        <f>MVA_O_Strom!$D8*ABS(Abbildungen!K$35)</f>
        <v>6.9012425779630696E-2</v>
      </c>
      <c r="H8" s="3">
        <f>MVA_O_Strom!$D8*ABS(Abbildungen!L$35)</f>
        <v>0.16908743622465128</v>
      </c>
      <c r="I8" s="3">
        <f>MVA_O_Strom!$D8*ABS(Abbildungen!M$35)</f>
        <v>0.25048032268505027</v>
      </c>
      <c r="J8" s="3">
        <f>MVA_O_Strom!$D8*ABS(Abbildungen!N$35)</f>
        <v>0.34799009462314179</v>
      </c>
      <c r="K8" s="19">
        <f>MVA_O_Strom!$D8*ABS(Abbildungen!O$35)</f>
        <v>0.34799009462314179</v>
      </c>
    </row>
    <row r="9" spans="1:11" x14ac:dyDescent="0.25">
      <c r="A9" s="13">
        <v>53.534504409999997</v>
      </c>
      <c r="B9">
        <v>9.9429255649999995</v>
      </c>
      <c r="C9" s="21">
        <v>173995.05230000001</v>
      </c>
      <c r="D9" s="61">
        <f t="shared" si="0"/>
        <v>9.9808506945031836E-3</v>
      </c>
      <c r="E9" s="69"/>
      <c r="F9" s="3">
        <f>MVA_O_Strom!$D9*ABS(Abbildungen!J$35)</f>
        <v>5.9235817483992209E-3</v>
      </c>
      <c r="G9" s="3">
        <f>MVA_O_Strom!$D9*ABS(Abbildungen!K$35)</f>
        <v>3.4506212889815348E-2</v>
      </c>
      <c r="H9" s="3">
        <f>MVA_O_Strom!$D9*ABS(Abbildungen!L$35)</f>
        <v>8.4543718112325639E-2</v>
      </c>
      <c r="I9" s="3">
        <f>MVA_O_Strom!$D9*ABS(Abbildungen!M$35)</f>
        <v>0.12524016134252514</v>
      </c>
      <c r="J9" s="3">
        <f>MVA_O_Strom!$D9*ABS(Abbildungen!N$35)</f>
        <v>0.17399504731157089</v>
      </c>
      <c r="K9" s="19">
        <f>MVA_O_Strom!$D9*ABS(Abbildungen!O$35)</f>
        <v>0.17399504731157089</v>
      </c>
    </row>
    <row r="10" spans="1:11" x14ac:dyDescent="0.25">
      <c r="A10" s="13">
        <v>53.521166229999999</v>
      </c>
      <c r="B10">
        <v>9.9347254970000005</v>
      </c>
      <c r="C10" s="21">
        <v>324723.32429999998</v>
      </c>
      <c r="D10" s="61">
        <f t="shared" si="0"/>
        <v>1.8627052746723632E-2</v>
      </c>
      <c r="E10" s="69"/>
      <c r="F10" s="3">
        <f>MVA_O_Strom!$D10*ABS(Abbildungen!J$35)</f>
        <v>1.1055056633371873E-2</v>
      </c>
      <c r="G10" s="3">
        <f>MVA_O_Strom!$D10*ABS(Abbildungen!K$35)</f>
        <v>6.4398222883170722E-2</v>
      </c>
      <c r="H10" s="3">
        <f>MVA_O_Strom!$D10*ABS(Abbildungen!L$35)</f>
        <v>0.15778217156877453</v>
      </c>
      <c r="I10" s="3">
        <f>MVA_O_Strom!$D10*ABS(Abbildungen!M$35)</f>
        <v>0.23373309177144405</v>
      </c>
      <c r="J10" s="3">
        <f>MVA_O_Strom!$D10*ABS(Abbildungen!N$35)</f>
        <v>0.32472331499019913</v>
      </c>
      <c r="K10" s="19">
        <f>MVA_O_Strom!$D10*ABS(Abbildungen!O$35)</f>
        <v>0.32472331499019913</v>
      </c>
    </row>
    <row r="11" spans="1:11" x14ac:dyDescent="0.25">
      <c r="A11" s="13">
        <v>53.531430370000002</v>
      </c>
      <c r="B11">
        <v>10.073997029999999</v>
      </c>
      <c r="C11" s="21">
        <v>493660.38089999999</v>
      </c>
      <c r="D11" s="61">
        <f t="shared" si="0"/>
        <v>2.8317762433032533E-2</v>
      </c>
      <c r="E11" s="69"/>
      <c r="F11" s="3">
        <f>MVA_O_Strom!$D11*ABS(Abbildungen!J$35)</f>
        <v>1.6806441238140006E-2</v>
      </c>
      <c r="G11" s="3">
        <f>MVA_O_Strom!$D11*ABS(Abbildungen!K$35)</f>
        <v>9.7901348190248122E-2</v>
      </c>
      <c r="H11" s="3">
        <f>MVA_O_Strom!$D11*ABS(Abbildungen!L$35)</f>
        <v>0.23986822346001213</v>
      </c>
      <c r="I11" s="3">
        <f>MVA_O_Strom!$D11*ABS(Abbildungen!M$35)</f>
        <v>0.35533255075396425</v>
      </c>
      <c r="J11" s="3">
        <f>MVA_O_Strom!$D11*ABS(Abbildungen!N$35)</f>
        <v>0.49366036674678254</v>
      </c>
      <c r="K11" s="19">
        <f>MVA_O_Strom!$D11*ABS(Abbildungen!O$35)</f>
        <v>0.49366036674678254</v>
      </c>
    </row>
    <row r="12" spans="1:11" x14ac:dyDescent="0.25">
      <c r="A12" s="13">
        <v>53.619281669999999</v>
      </c>
      <c r="B12">
        <v>10.22454263</v>
      </c>
      <c r="C12" s="21">
        <v>319665.32860000001</v>
      </c>
      <c r="D12" s="61">
        <f t="shared" si="0"/>
        <v>1.833691173852935E-2</v>
      </c>
      <c r="E12" s="69"/>
      <c r="F12" s="3">
        <f>MVA_O_Strom!$D12*ABS(Abbildungen!J$35)</f>
        <v>1.0882859489740786E-2</v>
      </c>
      <c r="G12" s="3">
        <f>MVA_O_Strom!$D12*ABS(Abbildungen!K$35)</f>
        <v>6.3395135300432781E-2</v>
      </c>
      <c r="H12" s="3">
        <f>MVA_O_Strom!$D12*ABS(Abbildungen!L$35)</f>
        <v>0.15532450534768649</v>
      </c>
      <c r="I12" s="3">
        <f>MVA_O_Strom!$D12*ABS(Abbildungen!M$35)</f>
        <v>0.23009238941143909</v>
      </c>
      <c r="J12" s="3">
        <f>MVA_O_Strom!$D12*ABS(Abbildungen!N$35)</f>
        <v>0.31966531943521165</v>
      </c>
      <c r="K12" s="19">
        <f>MVA_O_Strom!$D12*ABS(Abbildungen!O$35)</f>
        <v>0.31966531943521165</v>
      </c>
    </row>
    <row r="13" spans="1:11" x14ac:dyDescent="0.25">
      <c r="A13" s="13">
        <v>54.30732536</v>
      </c>
      <c r="B13">
        <v>10.11106695</v>
      </c>
      <c r="C13" s="21">
        <v>129484.69010000001</v>
      </c>
      <c r="D13" s="61">
        <f t="shared" si="0"/>
        <v>7.4276098200989739E-3</v>
      </c>
      <c r="E13" s="69"/>
      <c r="F13" s="3">
        <f>MVA_O_Strom!$D13*ABS(Abbildungen!J$35)</f>
        <v>4.4082468830838667E-3</v>
      </c>
      <c r="G13" s="3">
        <f>MVA_O_Strom!$D13*ABS(Abbildungen!K$35)</f>
        <v>2.5679042153788679E-2</v>
      </c>
      <c r="H13" s="3">
        <f>MVA_O_Strom!$D13*ABS(Abbildungen!L$35)</f>
        <v>6.2916255347315084E-2</v>
      </c>
      <c r="I13" s="3">
        <f>MVA_O_Strom!$D13*ABS(Abbildungen!M$35)</f>
        <v>9.3201980545689733E-2</v>
      </c>
      <c r="J13" s="3">
        <f>MVA_O_Strom!$D13*ABS(Abbildungen!N$35)</f>
        <v>0.12948468638768068</v>
      </c>
      <c r="K13" s="19">
        <f>MVA_O_Strom!$D13*ABS(Abbildungen!O$35)</f>
        <v>0.12948468638768068</v>
      </c>
    </row>
    <row r="14" spans="1:11" x14ac:dyDescent="0.25">
      <c r="A14" s="13">
        <v>54.082960079999999</v>
      </c>
      <c r="B14">
        <v>9.9910249760000003</v>
      </c>
      <c r="C14" s="21">
        <v>429929.63500000001</v>
      </c>
      <c r="D14" s="61">
        <f t="shared" si="0"/>
        <v>2.4661985725195533E-2</v>
      </c>
      <c r="E14" s="69"/>
      <c r="F14" s="3">
        <f>MVA_O_Strom!$D14*ABS(Abbildungen!J$35)</f>
        <v>1.4636757225664739E-2</v>
      </c>
      <c r="G14" s="3">
        <f>MVA_O_Strom!$D14*ABS(Abbildungen!K$35)</f>
        <v>8.5262444631884551E-2</v>
      </c>
      <c r="H14" s="3">
        <f>MVA_O_Strom!$D14*ABS(Abbildungen!L$35)</f>
        <v>0.20890162903543119</v>
      </c>
      <c r="I14" s="3">
        <f>MVA_O_Strom!$D14*ABS(Abbildungen!M$35)</f>
        <v>0.30945970096031827</v>
      </c>
      <c r="J14" s="3">
        <f>MVA_O_Strom!$D14*ABS(Abbildungen!N$35)</f>
        <v>0.42992962267393969</v>
      </c>
      <c r="K14" s="19">
        <f>MVA_O_Strom!$D14*ABS(Abbildungen!O$35)</f>
        <v>0.42992962267393969</v>
      </c>
    </row>
    <row r="15" spans="1:11" x14ac:dyDescent="0.25">
      <c r="A15" s="13">
        <v>53.547912850000003</v>
      </c>
      <c r="B15">
        <v>8.6180058440000007</v>
      </c>
      <c r="C15" s="21">
        <v>288305.75520000001</v>
      </c>
      <c r="D15" s="61">
        <f t="shared" si="0"/>
        <v>1.6538037484283022E-2</v>
      </c>
      <c r="E15" s="69"/>
      <c r="F15" s="3">
        <f>MVA_O_Strom!$D15*ABS(Abbildungen!J$35)</f>
        <v>9.8152371971853697E-3</v>
      </c>
      <c r="G15" s="3">
        <f>MVA_O_Strom!$D15*ABS(Abbildungen!K$35)</f>
        <v>5.7175992275558446E-2</v>
      </c>
      <c r="H15" s="3">
        <f>MVA_O_Strom!$D15*ABS(Abbildungen!L$35)</f>
        <v>0.14008697474778689</v>
      </c>
      <c r="I15" s="3">
        <f>MVA_O_Strom!$D15*ABS(Abbildungen!M$35)</f>
        <v>0.2075200347362208</v>
      </c>
      <c r="J15" s="3">
        <f>MVA_O_Strom!$D15*ABS(Abbildungen!N$35)</f>
        <v>0.28830574693428901</v>
      </c>
      <c r="K15" s="19">
        <f>MVA_O_Strom!$D15*ABS(Abbildungen!O$35)</f>
        <v>0.28830574693428901</v>
      </c>
    </row>
    <row r="16" spans="1:11" x14ac:dyDescent="0.25">
      <c r="A16" s="13">
        <v>52.411819940000001</v>
      </c>
      <c r="B16">
        <v>9.8531838960000009</v>
      </c>
      <c r="C16" s="21">
        <v>279201.36300000001</v>
      </c>
      <c r="D16" s="61">
        <f t="shared" si="0"/>
        <v>1.6015783672975081E-2</v>
      </c>
      <c r="E16" s="69"/>
      <c r="F16" s="3">
        <f>MVA_O_Strom!$D16*ABS(Abbildungen!J$35)</f>
        <v>9.5052823406920842E-3</v>
      </c>
      <c r="G16" s="3">
        <f>MVA_O_Strom!$D16*ABS(Abbildungen!K$35)</f>
        <v>5.5370434638529163E-2</v>
      </c>
      <c r="H16" s="3">
        <f>MVA_O_Strom!$D16*ABS(Abbildungen!L$35)</f>
        <v>0.13566317557898228</v>
      </c>
      <c r="I16" s="3">
        <f>MVA_O_Strom!$D16*ABS(Abbildungen!M$35)</f>
        <v>0.20096677053139933</v>
      </c>
      <c r="J16" s="3">
        <f>MVA_O_Strom!$D16*ABS(Abbildungen!N$35)</f>
        <v>0.2792013549953114</v>
      </c>
      <c r="K16" s="19">
        <f>MVA_O_Strom!$D16*ABS(Abbildungen!O$35)</f>
        <v>0.2792013549953114</v>
      </c>
    </row>
    <row r="17" spans="1:11" x14ac:dyDescent="0.25">
      <c r="A17" s="13">
        <v>52.098869430000001</v>
      </c>
      <c r="B17">
        <v>9.388399411</v>
      </c>
      <c r="C17" s="21">
        <v>439034.02730000002</v>
      </c>
      <c r="D17" s="61">
        <f t="shared" si="0"/>
        <v>2.5184239542239757E-2</v>
      </c>
      <c r="E17" s="69"/>
      <c r="F17" s="3">
        <f>MVA_O_Strom!$D17*ABS(Abbildungen!J$35)</f>
        <v>1.4946712085562478E-2</v>
      </c>
      <c r="G17" s="3">
        <f>MVA_O_Strom!$D17*ABS(Abbildungen!K$35)</f>
        <v>8.7068002288745561E-2</v>
      </c>
      <c r="H17" s="3">
        <f>MVA_O_Strom!$D17*ABS(Abbildungen!L$35)</f>
        <v>0.21332542825282552</v>
      </c>
      <c r="I17" s="3">
        <f>MVA_O_Strom!$D17*ABS(Abbildungen!M$35)</f>
        <v>0.31601296523711891</v>
      </c>
      <c r="J17" s="3">
        <f>MVA_O_Strom!$D17*ABS(Abbildungen!N$35)</f>
        <v>0.43903401471291725</v>
      </c>
      <c r="K17" s="19">
        <f>MVA_O_Strom!$D17*ABS(Abbildungen!O$35)</f>
        <v>0.43903401471291725</v>
      </c>
    </row>
    <row r="18" spans="1:11" x14ac:dyDescent="0.25">
      <c r="A18" s="13">
        <v>52.042568660000001</v>
      </c>
      <c r="B18">
        <v>8.6062566080000007</v>
      </c>
      <c r="C18" s="21">
        <v>396546.86330000003</v>
      </c>
      <c r="D18" s="61">
        <f t="shared" si="0"/>
        <v>2.2747055066524233E-2</v>
      </c>
      <c r="E18" s="69"/>
      <c r="F18" s="3">
        <f>MVA_O_Strom!$D18*ABS(Abbildungen!J$35)</f>
        <v>1.3500256074975995E-2</v>
      </c>
      <c r="G18" s="3">
        <f>MVA_O_Strom!$D18*ABS(Abbildungen!K$35)</f>
        <v>7.8642066569948696E-2</v>
      </c>
      <c r="H18" s="3">
        <f>MVA_O_Strom!$D18*ABS(Abbildungen!L$35)</f>
        <v>0.1926810319373784</v>
      </c>
      <c r="I18" s="3">
        <f>MVA_O_Strom!$D18*ABS(Abbildungen!M$35)</f>
        <v>0.28543106532670215</v>
      </c>
      <c r="J18" s="3">
        <f>MVA_O_Strom!$D18*ABS(Abbildungen!N$35)</f>
        <v>0.39654685193102202</v>
      </c>
      <c r="K18" s="19">
        <f>MVA_O_Strom!$D18*ABS(Abbildungen!O$35)</f>
        <v>0.39654685193102202</v>
      </c>
    </row>
    <row r="19" spans="1:11" x14ac:dyDescent="0.25">
      <c r="A19" s="13">
        <v>50.893299749999997</v>
      </c>
      <c r="B19">
        <v>9.9981132719999994</v>
      </c>
      <c r="C19" s="21">
        <v>293363.75089999998</v>
      </c>
      <c r="D19" s="61">
        <f t="shared" si="0"/>
        <v>1.6828178492477305E-2</v>
      </c>
      <c r="E19" s="69"/>
      <c r="F19" s="3">
        <f>MVA_O_Strom!$D19*ABS(Abbildungen!J$35)</f>
        <v>9.9874343408164565E-3</v>
      </c>
      <c r="G19" s="3">
        <f>MVA_O_Strom!$D19*ABS(Abbildungen!K$35)</f>
        <v>5.8179079858296394E-2</v>
      </c>
      <c r="H19" s="3">
        <f>MVA_O_Strom!$D19*ABS(Abbildungen!L$35)</f>
        <v>0.14254464096887492</v>
      </c>
      <c r="I19" s="3">
        <f>MVA_O_Strom!$D19*ABS(Abbildungen!M$35)</f>
        <v>0.21116073709622576</v>
      </c>
      <c r="J19" s="3">
        <f>MVA_O_Strom!$D19*ABS(Abbildungen!N$35)</f>
        <v>0.29336374248927649</v>
      </c>
      <c r="K19" s="19">
        <f>MVA_O_Strom!$D19*ABS(Abbildungen!O$35)</f>
        <v>0.29336374248927649</v>
      </c>
    </row>
    <row r="20" spans="1:11" x14ac:dyDescent="0.25">
      <c r="A20" s="13">
        <v>51.318098769999999</v>
      </c>
      <c r="B20">
        <v>9.8491974320000004</v>
      </c>
      <c r="C20" s="21">
        <v>340908.9106</v>
      </c>
      <c r="D20" s="61">
        <f t="shared" si="0"/>
        <v>1.9555503976387112E-2</v>
      </c>
      <c r="E20" s="69"/>
      <c r="F20" s="3">
        <f>MVA_O_Strom!$D20*ABS(Abbildungen!J$35)</f>
        <v>1.1606087495034029E-2</v>
      </c>
      <c r="G20" s="3">
        <f>MVA_O_Strom!$D20*ABS(Abbildungen!K$35)</f>
        <v>6.7608103159831207E-2</v>
      </c>
      <c r="H20" s="3">
        <f>MVA_O_Strom!$D20*ABS(Abbildungen!L$35)</f>
        <v>0.16564670350541005</v>
      </c>
      <c r="I20" s="3">
        <f>MVA_O_Strom!$D20*ABS(Abbildungen!M$35)</f>
        <v>0.24538333936664747</v>
      </c>
      <c r="J20" s="3">
        <f>MVA_O_Strom!$D20*ABS(Abbildungen!N$35)</f>
        <v>0.34090890082615927</v>
      </c>
      <c r="K20" s="19">
        <f>MVA_O_Strom!$D20*ABS(Abbildungen!O$35)</f>
        <v>0.34090890082615927</v>
      </c>
    </row>
    <row r="21" spans="1:11" x14ac:dyDescent="0.25">
      <c r="A21" s="13">
        <v>52.170050089999997</v>
      </c>
      <c r="B21">
        <v>10.97775118</v>
      </c>
      <c r="C21" s="21">
        <v>491637.1826</v>
      </c>
      <c r="D21" s="61">
        <f t="shared" si="0"/>
        <v>2.8201706028607564E-2</v>
      </c>
      <c r="E21" s="69"/>
      <c r="F21" s="3">
        <f>MVA_O_Strom!$D21*ABS(Abbildungen!J$35)</f>
        <v>1.6737562380006683E-2</v>
      </c>
      <c r="G21" s="3">
        <f>MVA_O_Strom!$D21*ABS(Abbildungen!K$35)</f>
        <v>9.7500113153186602E-2</v>
      </c>
      <c r="H21" s="3">
        <f>MVA_O_Strom!$D21*ABS(Abbildungen!L$35)</f>
        <v>0.238885156961859</v>
      </c>
      <c r="I21" s="3">
        <f>MVA_O_Strom!$D21*ABS(Abbildungen!M$35)</f>
        <v>0.35387626979556641</v>
      </c>
      <c r="J21" s="3">
        <f>MVA_O_Strom!$D21*ABS(Abbildungen!N$35)</f>
        <v>0.49163716850478756</v>
      </c>
      <c r="K21" s="19">
        <f>MVA_O_Strom!$D21*ABS(Abbildungen!O$35)</f>
        <v>0.49163716850478756</v>
      </c>
    </row>
    <row r="22" spans="1:11" x14ac:dyDescent="0.25">
      <c r="A22" s="13">
        <v>51.225673239999999</v>
      </c>
      <c r="B22">
        <v>6.8230018790000004</v>
      </c>
      <c r="C22" s="21">
        <v>470393.60060000001</v>
      </c>
      <c r="D22" s="61">
        <f t="shared" si="0"/>
        <v>2.6983113790749802E-2</v>
      </c>
      <c r="E22" s="69"/>
      <c r="F22" s="3">
        <f>MVA_O_Strom!$D22*ABS(Abbildungen!J$35)</f>
        <v>1.6014334374713439E-2</v>
      </c>
      <c r="G22" s="3">
        <f>MVA_O_Strom!$D22*ABS(Abbildungen!K$35)</f>
        <v>9.3287145293788176E-2</v>
      </c>
      <c r="H22" s="3">
        <f>MVA_O_Strom!$D22*ABS(Abbildungen!L$35)</f>
        <v>0.22856295880413544</v>
      </c>
      <c r="I22" s="3">
        <f>MVA_O_Strom!$D22*ABS(Abbildungen!M$35)</f>
        <v>0.33858531984035806</v>
      </c>
      <c r="J22" s="3">
        <f>MVA_O_Strom!$D22*ABS(Abbildungen!N$35)</f>
        <v>0.47039358711383994</v>
      </c>
      <c r="K22" s="19">
        <f>MVA_O_Strom!$D22*ABS(Abbildungen!O$35)</f>
        <v>0.47039358711383994</v>
      </c>
    </row>
    <row r="23" spans="1:11" x14ac:dyDescent="0.25">
      <c r="A23" s="13">
        <v>51.225305480000003</v>
      </c>
      <c r="B23">
        <v>7.1428134679999999</v>
      </c>
      <c r="C23" s="21">
        <v>411720.8505</v>
      </c>
      <c r="D23" s="61">
        <f t="shared" si="0"/>
        <v>2.3617478096843367E-2</v>
      </c>
      <c r="E23" s="69"/>
      <c r="F23" s="3">
        <f>MVA_O_Strom!$D23*ABS(Abbildungen!J$35)</f>
        <v>1.4016847509273712E-2</v>
      </c>
      <c r="G23" s="3">
        <f>MVA_O_Strom!$D23*ABS(Abbildungen!K$35)</f>
        <v>8.1651329337994266E-2</v>
      </c>
      <c r="H23" s="3">
        <f>MVA_O_Strom!$D23*ABS(Abbildungen!L$35)</f>
        <v>0.20005403064923222</v>
      </c>
      <c r="I23" s="3">
        <f>MVA_O_Strom!$D23*ABS(Abbildungen!M$35)</f>
        <v>0.29635317247869619</v>
      </c>
      <c r="J23" s="3">
        <f>MVA_O_Strom!$D23*ABS(Abbildungen!N$35)</f>
        <v>0.41172083869598458</v>
      </c>
      <c r="K23" s="19">
        <f>MVA_O_Strom!$D23*ABS(Abbildungen!O$35)</f>
        <v>0.41172083869598458</v>
      </c>
    </row>
    <row r="24" spans="1:11" x14ac:dyDescent="0.25">
      <c r="A24" s="13">
        <v>51.515430510000002</v>
      </c>
      <c r="B24">
        <v>7.0002632480000004</v>
      </c>
      <c r="C24" s="21">
        <v>685864.21770000004</v>
      </c>
      <c r="D24" s="61">
        <f t="shared" si="0"/>
        <v>3.9343120755887882E-2</v>
      </c>
      <c r="E24" s="69"/>
      <c r="F24" s="3">
        <f>MVA_O_Strom!$D24*ABS(Abbildungen!J$35)</f>
        <v>2.3349932702930256E-2</v>
      </c>
      <c r="G24" s="3">
        <f>MVA_O_Strom!$D24*ABS(Abbildungen!K$35)</f>
        <v>0.13601867637395376</v>
      </c>
      <c r="H24" s="3">
        <f>MVA_O_Strom!$D24*ABS(Abbildungen!L$35)</f>
        <v>0.33325953995853674</v>
      </c>
      <c r="I24" s="3">
        <f>MVA_O_Strom!$D24*ABS(Abbildungen!M$35)</f>
        <v>0.49367924057811147</v>
      </c>
      <c r="J24" s="3">
        <f>MVA_O_Strom!$D24*ABS(Abbildungen!N$35)</f>
        <v>0.68586419803630849</v>
      </c>
      <c r="K24" s="19">
        <f>MVA_O_Strom!$D24*ABS(Abbildungen!O$35)</f>
        <v>0.68586419803630849</v>
      </c>
    </row>
    <row r="25" spans="1:11" x14ac:dyDescent="0.25">
      <c r="A25" s="13">
        <v>51.55651615</v>
      </c>
      <c r="B25">
        <v>7.1634255629999997</v>
      </c>
      <c r="C25" s="21">
        <v>682829.4203</v>
      </c>
      <c r="D25" s="61">
        <f t="shared" si="0"/>
        <v>3.9169036152118565E-2</v>
      </c>
      <c r="E25" s="69"/>
      <c r="F25" s="3">
        <f>MVA_O_Strom!$D25*ABS(Abbildungen!J$35)</f>
        <v>2.324661441743249E-2</v>
      </c>
      <c r="G25" s="3">
        <f>MVA_O_Strom!$D25*ABS(Abbildungen!K$35)</f>
        <v>0.13541682382827733</v>
      </c>
      <c r="H25" s="3">
        <f>MVA_O_Strom!$D25*ABS(Abbildungen!L$35)</f>
        <v>0.33178494023560184</v>
      </c>
      <c r="I25" s="3">
        <f>MVA_O_Strom!$D25*ABS(Abbildungen!M$35)</f>
        <v>0.49149481917650423</v>
      </c>
      <c r="J25" s="3">
        <f>MVA_O_Strom!$D25*ABS(Abbildungen!N$35)</f>
        <v>0.68282940072331599</v>
      </c>
      <c r="K25" s="19">
        <f>MVA_O_Strom!$D25*ABS(Abbildungen!O$35)</f>
        <v>0.68282940072331599</v>
      </c>
    </row>
    <row r="26" spans="1:11" x14ac:dyDescent="0.25">
      <c r="A26" s="13">
        <v>51.484451559999997</v>
      </c>
      <c r="B26">
        <v>6.8333538090000001</v>
      </c>
      <c r="C26" s="21">
        <v>718235.39020000002</v>
      </c>
      <c r="D26" s="61">
        <f t="shared" si="0"/>
        <v>4.1200023209478555E-2</v>
      </c>
      <c r="E26" s="69"/>
      <c r="F26" s="3">
        <f>MVA_O_Strom!$D26*ABS(Abbildungen!J$35)</f>
        <v>2.4451994422850107E-2</v>
      </c>
      <c r="G26" s="3">
        <f>MVA_O_Strom!$D26*ABS(Abbildungen!K$35)</f>
        <v>0.14243843690744301</v>
      </c>
      <c r="H26" s="3">
        <f>MVA_O_Strom!$D26*ABS(Abbildungen!L$35)</f>
        <v>0.34898860378321805</v>
      </c>
      <c r="I26" s="3">
        <f>MVA_O_Strom!$D26*ABS(Abbildungen!M$35)</f>
        <v>0.5169797356965391</v>
      </c>
      <c r="J26" s="3">
        <f>MVA_O_Strom!$D26*ABS(Abbildungen!N$35)</f>
        <v>0.71823536960822876</v>
      </c>
      <c r="K26" s="19">
        <f>MVA_O_Strom!$D26*ABS(Abbildungen!O$35)</f>
        <v>0.71823536960822876</v>
      </c>
    </row>
    <row r="27" spans="1:11" x14ac:dyDescent="0.25">
      <c r="A27" s="13">
        <v>51.518884360000001</v>
      </c>
      <c r="B27">
        <v>6.5764130740000004</v>
      </c>
      <c r="C27" s="21">
        <v>218505.41450000001</v>
      </c>
      <c r="D27" s="61">
        <f t="shared" si="0"/>
        <v>1.2534091568907394E-2</v>
      </c>
      <c r="E27" s="69"/>
      <c r="F27" s="3">
        <f>MVA_O_Strom!$D27*ABS(Abbildungen!J$35)</f>
        <v>7.438916613714576E-3</v>
      </c>
      <c r="G27" s="3">
        <f>MVA_O_Strom!$D27*ABS(Abbildungen!K$35)</f>
        <v>4.333338362584202E-2</v>
      </c>
      <c r="H27" s="3">
        <f>MVA_O_Strom!$D27*ABS(Abbildungen!L$35)</f>
        <v>0.10617118087733619</v>
      </c>
      <c r="I27" s="3">
        <f>MVA_O_Strom!$D27*ABS(Abbildungen!M$35)</f>
        <v>0.15727834213936054</v>
      </c>
      <c r="J27" s="3">
        <f>MVA_O_Strom!$D27*ABS(Abbildungen!N$35)</f>
        <v>0.21850540823546113</v>
      </c>
      <c r="K27" s="19">
        <f>MVA_O_Strom!$D27*ABS(Abbildungen!O$35)</f>
        <v>0.21850540823546113</v>
      </c>
    </row>
    <row r="28" spans="1:11" x14ac:dyDescent="0.25">
      <c r="A28" s="13">
        <v>52.64359116</v>
      </c>
      <c r="B28">
        <v>6.7431930820000003</v>
      </c>
      <c r="C28" s="21">
        <v>387442.47110000002</v>
      </c>
      <c r="D28" s="61">
        <f t="shared" si="0"/>
        <v>2.2224801255216295E-2</v>
      </c>
      <c r="E28" s="69"/>
      <c r="F28" s="3">
        <f>MVA_O_Strom!$D28*ABS(Abbildungen!J$35)</f>
        <v>1.3190301218482711E-2</v>
      </c>
      <c r="G28" s="3">
        <f>MVA_O_Strom!$D28*ABS(Abbildungen!K$35)</f>
        <v>7.683650893291942E-2</v>
      </c>
      <c r="H28" s="3">
        <f>MVA_O_Strom!$D28*ABS(Abbildungen!L$35)</f>
        <v>0.18825723276857381</v>
      </c>
      <c r="I28" s="3">
        <f>MVA_O_Strom!$D28*ABS(Abbildungen!M$35)</f>
        <v>0.27887780112188071</v>
      </c>
      <c r="J28" s="3">
        <f>MVA_O_Strom!$D28*ABS(Abbildungen!N$35)</f>
        <v>0.38744245999204452</v>
      </c>
      <c r="K28" s="19">
        <f>MVA_O_Strom!$D28*ABS(Abbildungen!O$35)</f>
        <v>0.38744245999204452</v>
      </c>
    </row>
    <row r="29" spans="1:11" x14ac:dyDescent="0.25">
      <c r="A29" s="13">
        <v>50.856573789999999</v>
      </c>
      <c r="B29">
        <v>6.8436498090000004</v>
      </c>
      <c r="C29" s="21">
        <v>327758.12170000002</v>
      </c>
      <c r="D29" s="61">
        <f t="shared" si="0"/>
        <v>1.880113735049295E-2</v>
      </c>
      <c r="E29" s="69"/>
      <c r="F29" s="3">
        <f>MVA_O_Strom!$D29*ABS(Abbildungen!J$35)</f>
        <v>1.1158374918869637E-2</v>
      </c>
      <c r="G29" s="3">
        <f>MVA_O_Strom!$D29*ABS(Abbildungen!K$35)</f>
        <v>6.500007542884717E-2</v>
      </c>
      <c r="H29" s="3">
        <f>MVA_O_Strom!$D29*ABS(Abbildungen!L$35)</f>
        <v>0.15925677129170943</v>
      </c>
      <c r="I29" s="3">
        <f>MVA_O_Strom!$D29*ABS(Abbildungen!M$35)</f>
        <v>0.23591751317305126</v>
      </c>
      <c r="J29" s="3">
        <f>MVA_O_Strom!$D29*ABS(Abbildungen!N$35)</f>
        <v>0.32775811230319174</v>
      </c>
      <c r="K29" s="19">
        <f>MVA_O_Strom!$D29*ABS(Abbildungen!O$35)</f>
        <v>0.32775811230319174</v>
      </c>
    </row>
    <row r="30" spans="1:11" x14ac:dyDescent="0.25">
      <c r="A30" s="13">
        <v>51.006973870000003</v>
      </c>
      <c r="B30">
        <v>6.9507662300000002</v>
      </c>
      <c r="C30" s="21">
        <v>267062.17330000002</v>
      </c>
      <c r="D30" s="61">
        <f t="shared" si="0"/>
        <v>1.5319445252161544E-2</v>
      </c>
      <c r="E30" s="69"/>
      <c r="F30" s="3">
        <f>MVA_O_Strom!$D30*ABS(Abbildungen!J$35)</f>
        <v>9.0920091952965826E-3</v>
      </c>
      <c r="G30" s="3">
        <f>MVA_O_Strom!$D30*ABS(Abbildungen!K$35)</f>
        <v>5.2963024435991733E-2</v>
      </c>
      <c r="H30" s="3">
        <f>MVA_O_Strom!$D30*ABS(Abbildungen!L$35)</f>
        <v>0.12976477663865305</v>
      </c>
      <c r="I30" s="3">
        <f>MVA_O_Strom!$D30*ABS(Abbildungen!M$35)</f>
        <v>0.19222908485299159</v>
      </c>
      <c r="J30" s="3">
        <f>MVA_O_Strom!$D30*ABS(Abbildungen!N$35)</f>
        <v>0.2670621656433414</v>
      </c>
      <c r="K30" s="19">
        <f>MVA_O_Strom!$D30*ABS(Abbildungen!O$35)</f>
        <v>0.2670621656433414</v>
      </c>
    </row>
    <row r="31" spans="1:11" x14ac:dyDescent="0.25">
      <c r="A31" s="13">
        <v>51.042317689999997</v>
      </c>
      <c r="B31">
        <v>7.0042022260000003</v>
      </c>
      <c r="C31" s="21">
        <v>155786.2677</v>
      </c>
      <c r="D31" s="61">
        <f t="shared" si="0"/>
        <v>8.9363430604147351E-3</v>
      </c>
      <c r="E31" s="69"/>
      <c r="F31" s="3">
        <f>MVA_O_Strom!$D31*ABS(Abbildungen!J$35)</f>
        <v>5.3036720286037415E-3</v>
      </c>
      <c r="G31" s="3">
        <f>MVA_O_Strom!$D31*ABS(Abbildungen!K$35)</f>
        <v>3.0895097576093343E-2</v>
      </c>
      <c r="H31" s="3">
        <f>MVA_O_Strom!$D31*ABS(Abbildungen!L$35)</f>
        <v>7.5696119677536949E-2</v>
      </c>
      <c r="I31" s="3">
        <f>MVA_O_Strom!$D31*ABS(Abbildungen!M$35)</f>
        <v>0.11213363278892392</v>
      </c>
      <c r="J31" s="3">
        <f>MVA_O_Strom!$D31*ABS(Abbildungen!N$35)</f>
        <v>0.1557862632336158</v>
      </c>
      <c r="K31" s="19">
        <f>MVA_O_Strom!$D31*ABS(Abbildungen!O$35)</f>
        <v>0.1557862632336158</v>
      </c>
    </row>
    <row r="32" spans="1:11" x14ac:dyDescent="0.25">
      <c r="A32" s="13">
        <v>50.83799406</v>
      </c>
      <c r="B32">
        <v>6.3095845649999998</v>
      </c>
      <c r="C32" s="21">
        <v>380361.27710000001</v>
      </c>
      <c r="D32" s="61">
        <f t="shared" si="0"/>
        <v>2.181860384259704E-2</v>
      </c>
      <c r="E32" s="69"/>
      <c r="F32" s="3">
        <f>MVA_O_Strom!$D32*ABS(Abbildungen!J$35)</f>
        <v>1.2949225216718296E-2</v>
      </c>
      <c r="G32" s="3">
        <f>MVA_O_Strom!$D32*ABS(Abbildungen!K$35)</f>
        <v>7.5432186313119931E-2</v>
      </c>
      <c r="H32" s="3">
        <f>MVA_O_Strom!$D32*ABS(Abbildungen!L$35)</f>
        <v>0.18481650004933262</v>
      </c>
      <c r="I32" s="3">
        <f>MVA_O_Strom!$D32*ABS(Abbildungen!M$35)</f>
        <v>0.2737808178034779</v>
      </c>
      <c r="J32" s="3">
        <f>MVA_O_Strom!$D32*ABS(Abbildungen!N$35)</f>
        <v>0.380361266195062</v>
      </c>
      <c r="K32" s="19">
        <f>MVA_O_Strom!$D32*ABS(Abbildungen!O$35)</f>
        <v>0.380361266195062</v>
      </c>
    </row>
    <row r="33" spans="1:11" x14ac:dyDescent="0.25">
      <c r="A33" s="13">
        <v>50.025313169999997</v>
      </c>
      <c r="B33">
        <v>8.2383958449999994</v>
      </c>
      <c r="C33" s="21">
        <v>327758.12170000002</v>
      </c>
      <c r="D33" s="61">
        <f t="shared" si="0"/>
        <v>1.880113735049295E-2</v>
      </c>
      <c r="E33" s="69"/>
      <c r="F33" s="3">
        <f>MVA_O_Strom!$D33*ABS(Abbildungen!J$35)</f>
        <v>1.1158374918869637E-2</v>
      </c>
      <c r="G33" s="3">
        <f>MVA_O_Strom!$D33*ABS(Abbildungen!K$35)</f>
        <v>6.500007542884717E-2</v>
      </c>
      <c r="H33" s="3">
        <f>MVA_O_Strom!$D33*ABS(Abbildungen!L$35)</f>
        <v>0.15925677129170943</v>
      </c>
      <c r="I33" s="3">
        <f>MVA_O_Strom!$D33*ABS(Abbildungen!M$35)</f>
        <v>0.23591751317305126</v>
      </c>
      <c r="J33" s="3">
        <f>MVA_O_Strom!$D33*ABS(Abbildungen!N$35)</f>
        <v>0.32775811230319174</v>
      </c>
      <c r="K33" s="19">
        <f>MVA_O_Strom!$D33*ABS(Abbildungen!O$35)</f>
        <v>0.32775811230319174</v>
      </c>
    </row>
    <row r="34" spans="1:11" x14ac:dyDescent="0.25">
      <c r="A34" s="13">
        <v>51.37760265</v>
      </c>
      <c r="B34">
        <v>7.4706744780000003</v>
      </c>
      <c r="C34" s="21">
        <v>103183.1124</v>
      </c>
      <c r="D34" s="61">
        <f t="shared" ref="D34:D56" si="1">C34/$C$56</f>
        <v>5.9188765740469272E-3</v>
      </c>
      <c r="E34" s="69"/>
      <c r="F34" s="3">
        <f>MVA_O_Strom!$D34*ABS(Abbildungen!J$35)</f>
        <v>3.5128217341595367E-3</v>
      </c>
      <c r="G34" s="3">
        <f>MVA_O_Strom!$D34*ABS(Abbildungen!K$35)</f>
        <v>2.0462986711652292E-2</v>
      </c>
      <c r="H34" s="3">
        <f>MVA_O_Strom!$D34*ABS(Abbildungen!L$35)</f>
        <v>5.0136390968503482E-2</v>
      </c>
      <c r="I34" s="3">
        <f>MVA_O_Strom!$D34*ABS(Abbildungen!M$35)</f>
        <v>7.4270328230476385E-2</v>
      </c>
      <c r="J34" s="3">
        <f>MVA_O_Strom!$D34*ABS(Abbildungen!N$35)</f>
        <v>0.10318310944174552</v>
      </c>
      <c r="K34" s="19">
        <f>MVA_O_Strom!$D34*ABS(Abbildungen!O$35)</f>
        <v>0.10318310944174552</v>
      </c>
    </row>
    <row r="35" spans="1:11" x14ac:dyDescent="0.25">
      <c r="A35" s="13">
        <v>51.396294709999999</v>
      </c>
      <c r="B35">
        <v>7.6941135049999998</v>
      </c>
      <c r="C35" s="21">
        <v>105206.3107</v>
      </c>
      <c r="D35" s="61">
        <f t="shared" si="1"/>
        <v>6.0349329784718979E-3</v>
      </c>
      <c r="E35" s="69"/>
      <c r="F35" s="3">
        <f>MVA_O_Strom!$D35*ABS(Abbildungen!J$35)</f>
        <v>3.5817005922928629E-3</v>
      </c>
      <c r="G35" s="3">
        <f>MVA_O_Strom!$D35*ABS(Abbildungen!K$35)</f>
        <v>2.0864221748713815E-2</v>
      </c>
      <c r="H35" s="3">
        <f>MVA_O_Strom!$D35*ABS(Abbildungen!L$35)</f>
        <v>5.1119457466656637E-2</v>
      </c>
      <c r="I35" s="3">
        <f>MVA_O_Strom!$D35*ABS(Abbildungen!M$35)</f>
        <v>7.5726609188874208E-2</v>
      </c>
      <c r="J35" s="3">
        <f>MVA_O_Strom!$D35*ABS(Abbildungen!N$35)</f>
        <v>0.10520630768374054</v>
      </c>
      <c r="K35" s="19">
        <f>MVA_O_Strom!$D35*ABS(Abbildungen!O$35)</f>
        <v>0.10520630768374054</v>
      </c>
    </row>
    <row r="36" spans="1:11" x14ac:dyDescent="0.25">
      <c r="A36" s="13">
        <v>51.680056450000002</v>
      </c>
      <c r="B36">
        <v>7.7447930490000001</v>
      </c>
      <c r="C36" s="21">
        <v>252899.78529999999</v>
      </c>
      <c r="D36" s="61">
        <f t="shared" si="1"/>
        <v>1.4507050426923034E-2</v>
      </c>
      <c r="E36" s="69"/>
      <c r="F36" s="3">
        <f>MVA_O_Strom!$D36*ABS(Abbildungen!J$35)</f>
        <v>8.609857191767753E-3</v>
      </c>
      <c r="G36" s="3">
        <f>MVA_O_Strom!$D36*ABS(Abbildungen!K$35)</f>
        <v>5.0154379196392776E-2</v>
      </c>
      <c r="H36" s="3">
        <f>MVA_O_Strom!$D36*ABS(Abbildungen!L$35)</f>
        <v>0.12288331120017067</v>
      </c>
      <c r="I36" s="3">
        <f>MVA_O_Strom!$D36*ABS(Abbildungen!M$35)</f>
        <v>0.18203511821618598</v>
      </c>
      <c r="J36" s="3">
        <f>MVA_O_Strom!$D36*ABS(Abbildungen!N$35)</f>
        <v>0.25289977804937624</v>
      </c>
      <c r="K36" s="19">
        <f>MVA_O_Strom!$D36*ABS(Abbildungen!O$35)</f>
        <v>0.25289977804937624</v>
      </c>
    </row>
    <row r="37" spans="1:11" x14ac:dyDescent="0.25">
      <c r="A37" s="13">
        <v>50.161545910000001</v>
      </c>
      <c r="B37">
        <v>8.6353737230000007</v>
      </c>
      <c r="C37" s="21">
        <v>429929.63500000001</v>
      </c>
      <c r="D37" s="61">
        <f t="shared" si="1"/>
        <v>2.4661985725195533E-2</v>
      </c>
      <c r="E37" s="69"/>
      <c r="F37" s="3">
        <f>MVA_O_Strom!$D37*ABS(Abbildungen!J$35)</f>
        <v>1.4636757225664739E-2</v>
      </c>
      <c r="G37" s="3">
        <f>MVA_O_Strom!$D37*ABS(Abbildungen!K$35)</f>
        <v>8.5262444631884551E-2</v>
      </c>
      <c r="H37" s="3">
        <f>MVA_O_Strom!$D37*ABS(Abbildungen!L$35)</f>
        <v>0.20890162903543119</v>
      </c>
      <c r="I37" s="3">
        <f>MVA_O_Strom!$D37*ABS(Abbildungen!M$35)</f>
        <v>0.30945970096031827</v>
      </c>
      <c r="J37" s="3">
        <f>MVA_O_Strom!$D37*ABS(Abbildungen!N$35)</f>
        <v>0.42992962267393969</v>
      </c>
      <c r="K37" s="19">
        <f>MVA_O_Strom!$D37*ABS(Abbildungen!O$35)</f>
        <v>0.42992962267393969</v>
      </c>
    </row>
    <row r="38" spans="1:11" x14ac:dyDescent="0.25">
      <c r="A38" s="13">
        <v>49.884131330000002</v>
      </c>
      <c r="B38">
        <v>8.6463067850000002</v>
      </c>
      <c r="C38" s="21">
        <v>191192.2377</v>
      </c>
      <c r="D38" s="61">
        <f t="shared" si="1"/>
        <v>1.0967330123511004E-2</v>
      </c>
      <c r="E38" s="69"/>
      <c r="F38" s="3">
        <f>MVA_O_Strom!$D38*ABS(Abbildungen!J$35)</f>
        <v>6.5090520374258103E-3</v>
      </c>
      <c r="G38" s="3">
        <f>MVA_O_Strom!$D38*ABS(Abbildungen!K$35)</f>
        <v>3.7916710675090726E-2</v>
      </c>
      <c r="H38" s="3">
        <f>MVA_O_Strom!$D38*ABS(Abbildungen!L$35)</f>
        <v>9.2899783273742875E-2</v>
      </c>
      <c r="I38" s="3">
        <f>MVA_O_Strom!$D38*ABS(Abbildungen!M$35)</f>
        <v>0.13761854938093787</v>
      </c>
      <c r="J38" s="3">
        <f>MVA_O_Strom!$D38*ABS(Abbildungen!N$35)</f>
        <v>0.19119223221852849</v>
      </c>
      <c r="K38" s="19">
        <f>MVA_O_Strom!$D38*ABS(Abbildungen!O$35)</f>
        <v>0.19119223221852849</v>
      </c>
    </row>
    <row r="39" spans="1:11" x14ac:dyDescent="0.25">
      <c r="A39" s="13">
        <v>50.088416029999998</v>
      </c>
      <c r="B39">
        <v>8.5368308370000001</v>
      </c>
      <c r="C39" s="21">
        <v>599878.29070000001</v>
      </c>
      <c r="D39" s="61">
        <f t="shared" si="1"/>
        <v>3.4410723610848772E-2</v>
      </c>
      <c r="E39" s="69"/>
      <c r="F39" s="3">
        <f>MVA_O_Strom!$D39*ABS(Abbildungen!J$35)</f>
        <v>2.0422581257797306E-2</v>
      </c>
      <c r="G39" s="3">
        <f>MVA_O_Strom!$D39*ABS(Abbildungen!K$35)</f>
        <v>0.11896618744757684</v>
      </c>
      <c r="H39" s="3">
        <f>MVA_O_Strom!$D39*ABS(Abbildungen!L$35)</f>
        <v>0.29147921415145045</v>
      </c>
      <c r="I39" s="3">
        <f>MVA_O_Strom!$D39*ABS(Abbildungen!M$35)</f>
        <v>0.43178730038604773</v>
      </c>
      <c r="J39" s="3">
        <f>MVA_O_Strom!$D39*ABS(Abbildungen!N$35)</f>
        <v>0.59987827350152056</v>
      </c>
      <c r="K39" s="19">
        <f>MVA_O_Strom!$D39*ABS(Abbildungen!O$35)</f>
        <v>0.59987827350152056</v>
      </c>
    </row>
    <row r="40" spans="1:11" x14ac:dyDescent="0.25">
      <c r="A40" s="13">
        <v>49.214277979999999</v>
      </c>
      <c r="B40">
        <v>6.8347348019999998</v>
      </c>
      <c r="C40" s="21">
        <v>252899.78529999999</v>
      </c>
      <c r="D40" s="61">
        <f t="shared" si="1"/>
        <v>1.4507050426923034E-2</v>
      </c>
      <c r="E40" s="69"/>
      <c r="F40" s="3">
        <f>MVA_O_Strom!$D40*ABS(Abbildungen!J$35)</f>
        <v>8.609857191767753E-3</v>
      </c>
      <c r="G40" s="3">
        <f>MVA_O_Strom!$D40*ABS(Abbildungen!K$35)</f>
        <v>5.0154379196392776E-2</v>
      </c>
      <c r="H40" s="3">
        <f>MVA_O_Strom!$D40*ABS(Abbildungen!L$35)</f>
        <v>0.12288331120017067</v>
      </c>
      <c r="I40" s="3">
        <f>MVA_O_Strom!$D40*ABS(Abbildungen!M$35)</f>
        <v>0.18203511821618598</v>
      </c>
      <c r="J40" s="3">
        <f>MVA_O_Strom!$D40*ABS(Abbildungen!N$35)</f>
        <v>0.25289977804937624</v>
      </c>
      <c r="K40" s="19">
        <f>MVA_O_Strom!$D40*ABS(Abbildungen!O$35)</f>
        <v>0.25289977804937624</v>
      </c>
    </row>
    <row r="41" spans="1:11" x14ac:dyDescent="0.25">
      <c r="A41" s="13">
        <v>49.338141640000003</v>
      </c>
      <c r="B41">
        <v>7.1684029379999998</v>
      </c>
      <c r="C41" s="21">
        <v>140612.2806</v>
      </c>
      <c r="D41" s="61">
        <f t="shared" si="1"/>
        <v>8.0659200358318833E-3</v>
      </c>
      <c r="E41" s="69"/>
      <c r="F41" s="3">
        <f>MVA_O_Strom!$D41*ABS(Abbildungen!J$35)</f>
        <v>4.7870805977104774E-3</v>
      </c>
      <c r="G41" s="3">
        <f>MVA_O_Strom!$D41*ABS(Abbildungen!K$35)</f>
        <v>2.7885834827879482E-2</v>
      </c>
      <c r="H41" s="3">
        <f>MVA_O_Strom!$D41*ABS(Abbildungen!L$35)</f>
        <v>6.8323121014272847E-2</v>
      </c>
      <c r="I41" s="3">
        <f>MVA_O_Strom!$D41*ABS(Abbildungen!M$35)</f>
        <v>0.101211525708909</v>
      </c>
      <c r="J41" s="3">
        <f>MVA_O_Strom!$D41*ABS(Abbildungen!N$35)</f>
        <v>0.14061227656865322</v>
      </c>
      <c r="K41" s="19">
        <f>MVA_O_Strom!$D41*ABS(Abbildungen!O$35)</f>
        <v>0.14061227656865322</v>
      </c>
    </row>
    <row r="42" spans="1:11" x14ac:dyDescent="0.25">
      <c r="A42" s="13">
        <v>49.484682200000002</v>
      </c>
      <c r="B42">
        <v>8.4263564219999996</v>
      </c>
      <c r="C42" s="21">
        <v>177029.84969999999</v>
      </c>
      <c r="D42" s="61">
        <f t="shared" si="1"/>
        <v>1.0154935298272496E-2</v>
      </c>
      <c r="E42" s="69"/>
      <c r="F42" s="3">
        <f>MVA_O_Strom!$D42*ABS(Abbildungen!J$35)</f>
        <v>6.0269000338969824E-3</v>
      </c>
      <c r="G42" s="3">
        <f>MVA_O_Strom!$D42*ABS(Abbildungen!K$35)</f>
        <v>3.5108065435491768E-2</v>
      </c>
      <c r="H42" s="3">
        <f>MVA_O_Strom!$D42*ABS(Abbildungen!L$35)</f>
        <v>8.6018317835260497E-2</v>
      </c>
      <c r="I42" s="3">
        <f>MVA_O_Strom!$D42*ABS(Abbildungen!M$35)</f>
        <v>0.12742458274413226</v>
      </c>
      <c r="J42" s="3">
        <f>MVA_O_Strom!$D42*ABS(Abbildungen!N$35)</f>
        <v>0.17702984462456339</v>
      </c>
      <c r="K42" s="19">
        <f>MVA_O_Strom!$D42*ABS(Abbildungen!O$35)</f>
        <v>0.17702984462456339</v>
      </c>
    </row>
    <row r="43" spans="1:11" x14ac:dyDescent="0.25">
      <c r="A43" s="13">
        <v>49.521381920000003</v>
      </c>
      <c r="B43">
        <v>8.4524555259999996</v>
      </c>
      <c r="C43" s="21">
        <v>640342.25639999995</v>
      </c>
      <c r="D43" s="61">
        <f t="shared" si="1"/>
        <v>3.6731851682139327E-2</v>
      </c>
      <c r="E43" s="69"/>
      <c r="F43" s="3">
        <f>MVA_O_Strom!$D43*ABS(Abbildungen!J$35)</f>
        <v>2.1800158410250462E-2</v>
      </c>
      <c r="G43" s="3">
        <f>MVA_O_Strom!$D43*ABS(Abbildungen!K$35)</f>
        <v>0.1269908881293122</v>
      </c>
      <c r="H43" s="3">
        <f>MVA_O_Strom!$D43*ABS(Abbildungen!L$35)</f>
        <v>0.31114054396874447</v>
      </c>
      <c r="I43" s="3">
        <f>MVA_O_Strom!$D43*ABS(Abbildungen!M$35)</f>
        <v>0.46091291933806666</v>
      </c>
      <c r="J43" s="3">
        <f>MVA_O_Strom!$D43*ABS(Abbildungen!N$35)</f>
        <v>0.64034223804142076</v>
      </c>
      <c r="K43" s="19">
        <f>MVA_O_Strom!$D43*ABS(Abbildungen!O$35)</f>
        <v>0.64034223804142076</v>
      </c>
    </row>
    <row r="44" spans="1:11" x14ac:dyDescent="0.25">
      <c r="A44" s="13">
        <v>48.815361439999997</v>
      </c>
      <c r="B44">
        <v>9.2197446500000009</v>
      </c>
      <c r="C44" s="21">
        <v>486579.18689999997</v>
      </c>
      <c r="D44" s="61">
        <f t="shared" si="1"/>
        <v>2.7911565020413278E-2</v>
      </c>
      <c r="E44" s="69"/>
      <c r="F44" s="3">
        <f>MVA_O_Strom!$D44*ABS(Abbildungen!J$35)</f>
        <v>1.6565365236375591E-2</v>
      </c>
      <c r="G44" s="3">
        <f>MVA_O_Strom!$D44*ABS(Abbildungen!K$35)</f>
        <v>9.6497025570448647E-2</v>
      </c>
      <c r="H44" s="3">
        <f>MVA_O_Strom!$D44*ABS(Abbildungen!L$35)</f>
        <v>0.23642749074077093</v>
      </c>
      <c r="I44" s="3">
        <f>MVA_O_Strom!$D44*ABS(Abbildungen!M$35)</f>
        <v>0.35023556743556145</v>
      </c>
      <c r="J44" s="3">
        <f>MVA_O_Strom!$D44*ABS(Abbildungen!N$35)</f>
        <v>0.48657917294979997</v>
      </c>
      <c r="K44" s="19">
        <f>MVA_O_Strom!$D44*ABS(Abbildungen!O$35)</f>
        <v>0.48657917294979997</v>
      </c>
    </row>
    <row r="45" spans="1:11" x14ac:dyDescent="0.25">
      <c r="A45" s="13">
        <v>48.682155330000001</v>
      </c>
      <c r="B45">
        <v>9.6714752100000005</v>
      </c>
      <c r="C45" s="21">
        <v>155786.2677</v>
      </c>
      <c r="D45" s="61">
        <f t="shared" si="1"/>
        <v>8.9363430604147351E-3</v>
      </c>
      <c r="E45" s="69"/>
      <c r="F45" s="3">
        <f>MVA_O_Strom!$D45*ABS(Abbildungen!J$35)</f>
        <v>5.3036720286037415E-3</v>
      </c>
      <c r="G45" s="3">
        <f>MVA_O_Strom!$D45*ABS(Abbildungen!K$35)</f>
        <v>3.0895097576093343E-2</v>
      </c>
      <c r="H45" s="3">
        <f>MVA_O_Strom!$D45*ABS(Abbildungen!L$35)</f>
        <v>7.5696119677536949E-2</v>
      </c>
      <c r="I45" s="3">
        <f>MVA_O_Strom!$D45*ABS(Abbildungen!M$35)</f>
        <v>0.11213363278892392</v>
      </c>
      <c r="J45" s="3">
        <f>MVA_O_Strom!$D45*ABS(Abbildungen!N$35)</f>
        <v>0.1557862632336158</v>
      </c>
      <c r="K45" s="19">
        <f>MVA_O_Strom!$D45*ABS(Abbildungen!O$35)</f>
        <v>0.1557862632336158</v>
      </c>
    </row>
    <row r="46" spans="1:11" x14ac:dyDescent="0.25">
      <c r="A46" s="13">
        <v>47.890199989999999</v>
      </c>
      <c r="B46">
        <v>7.6164421960000004</v>
      </c>
      <c r="C46" s="21">
        <v>171971.85399999999</v>
      </c>
      <c r="D46" s="61">
        <f t="shared" si="1"/>
        <v>9.8647942900782128E-3</v>
      </c>
      <c r="E46" s="69"/>
      <c r="F46" s="3">
        <f>MVA_O_Strom!$D46*ABS(Abbildungen!J$35)</f>
        <v>5.8547028902658947E-3</v>
      </c>
      <c r="G46" s="3">
        <f>MVA_O_Strom!$D46*ABS(Abbildungen!K$35)</f>
        <v>3.4104977852753821E-2</v>
      </c>
      <c r="H46" s="3">
        <f>MVA_O_Strom!$D46*ABS(Abbildungen!L$35)</f>
        <v>8.3560651614172476E-2</v>
      </c>
      <c r="I46" s="3">
        <f>MVA_O_Strom!$D46*ABS(Abbildungen!M$35)</f>
        <v>0.12378388038412731</v>
      </c>
      <c r="J46" s="3">
        <f>MVA_O_Strom!$D46*ABS(Abbildungen!N$35)</f>
        <v>0.17197184906957588</v>
      </c>
      <c r="K46" s="19">
        <f>MVA_O_Strom!$D46*ABS(Abbildungen!O$35)</f>
        <v>0.17197184906957588</v>
      </c>
    </row>
    <row r="47" spans="1:11" x14ac:dyDescent="0.25">
      <c r="A47" s="13">
        <v>48.185153499999998</v>
      </c>
      <c r="B47">
        <v>12.73465747</v>
      </c>
      <c r="C47" s="21">
        <v>229633.005</v>
      </c>
      <c r="D47" s="61">
        <f t="shared" si="1"/>
        <v>1.3172401784640303E-2</v>
      </c>
      <c r="E47" s="69"/>
      <c r="F47" s="3">
        <f>MVA_O_Strom!$D47*ABS(Abbildungen!J$35)</f>
        <v>7.8177503283411876E-3</v>
      </c>
      <c r="G47" s="3">
        <f>MVA_O_Strom!$D47*ABS(Abbildungen!K$35)</f>
        <v>4.5540176299932816E-2</v>
      </c>
      <c r="H47" s="3">
        <f>MVA_O_Strom!$D47*ABS(Abbildungen!L$35)</f>
        <v>0.11157804654429396</v>
      </c>
      <c r="I47" s="3">
        <f>MVA_O_Strom!$D47*ABS(Abbildungen!M$35)</f>
        <v>0.16528788730257979</v>
      </c>
      <c r="J47" s="3">
        <f>MVA_O_Strom!$D47*ABS(Abbildungen!N$35)</f>
        <v>0.22963299841643367</v>
      </c>
      <c r="K47" s="19">
        <f>MVA_O_Strom!$D47*ABS(Abbildungen!O$35)</f>
        <v>0.22963299841643367</v>
      </c>
    </row>
    <row r="48" spans="1:11" x14ac:dyDescent="0.25">
      <c r="A48" s="13">
        <v>48.764348560000002</v>
      </c>
      <c r="B48">
        <v>11.492966300000001</v>
      </c>
      <c r="C48" s="21">
        <v>229633.005</v>
      </c>
      <c r="D48" s="61">
        <f t="shared" si="1"/>
        <v>1.3172401784640303E-2</v>
      </c>
      <c r="E48" s="69"/>
      <c r="F48" s="3">
        <f>MVA_O_Strom!$D48*ABS(Abbildungen!J$35)</f>
        <v>7.8177503283411876E-3</v>
      </c>
      <c r="G48" s="3">
        <f>MVA_O_Strom!$D48*ABS(Abbildungen!K$35)</f>
        <v>4.5540176299932816E-2</v>
      </c>
      <c r="H48" s="3">
        <f>MVA_O_Strom!$D48*ABS(Abbildungen!L$35)</f>
        <v>0.11157804654429396</v>
      </c>
      <c r="I48" s="3">
        <f>MVA_O_Strom!$D48*ABS(Abbildungen!M$35)</f>
        <v>0.16528788730257979</v>
      </c>
      <c r="J48" s="3">
        <f>MVA_O_Strom!$D48*ABS(Abbildungen!N$35)</f>
        <v>0.22963299841643367</v>
      </c>
      <c r="K48" s="19">
        <f>MVA_O_Strom!$D48*ABS(Abbildungen!O$35)</f>
        <v>0.22963299841643367</v>
      </c>
    </row>
    <row r="49" spans="1:11" x14ac:dyDescent="0.25">
      <c r="A49" s="13">
        <v>48.402135899999998</v>
      </c>
      <c r="B49">
        <v>10.93321948</v>
      </c>
      <c r="C49" s="21">
        <v>234691.00080000001</v>
      </c>
      <c r="D49" s="61">
        <f t="shared" si="1"/>
        <v>1.3462542798570872E-2</v>
      </c>
      <c r="E49" s="69"/>
      <c r="F49" s="3">
        <f>MVA_O_Strom!$D49*ABS(Abbildungen!J$35)</f>
        <v>7.98994747537673E-3</v>
      </c>
      <c r="G49" s="3">
        <f>MVA_O_Strom!$D49*ABS(Abbildungen!K$35)</f>
        <v>4.6543263902502498E-2</v>
      </c>
      <c r="H49" s="3">
        <f>MVA_O_Strom!$D49*ABS(Abbildungen!L$35)</f>
        <v>0.11403571281397172</v>
      </c>
      <c r="I49" s="3">
        <f>MVA_O_Strom!$D49*ABS(Abbildungen!M$35)</f>
        <v>0.16892858973456393</v>
      </c>
      <c r="J49" s="3">
        <f>MVA_O_Strom!$D49*ABS(Abbildungen!N$35)</f>
        <v>0.23469099407142122</v>
      </c>
      <c r="K49" s="19">
        <f>MVA_O_Strom!$D49*ABS(Abbildungen!O$35)</f>
        <v>0.23469099407142122</v>
      </c>
    </row>
    <row r="50" spans="1:11" x14ac:dyDescent="0.25">
      <c r="A50" s="13">
        <v>47.797517040000002</v>
      </c>
      <c r="B50">
        <v>10.85914082</v>
      </c>
      <c r="C50" s="21">
        <v>111275.90549999999</v>
      </c>
      <c r="D50" s="61">
        <f t="shared" si="1"/>
        <v>6.3831021860105246E-3</v>
      </c>
      <c r="E50" s="69"/>
      <c r="F50" s="3">
        <f>MVA_O_Strom!$D50*ABS(Abbildungen!J$35)</f>
        <v>3.7883371632883868E-3</v>
      </c>
      <c r="G50" s="3">
        <f>MVA_O_Strom!$D50*ABS(Abbildungen!K$35)</f>
        <v>2.2067926840066671E-2</v>
      </c>
      <c r="H50" s="3">
        <f>MVA_O_Strom!$D50*ABS(Abbildungen!L$35)</f>
        <v>5.4068656912526387E-2</v>
      </c>
      <c r="I50" s="3">
        <f>MVA_O_Strom!$D50*ABS(Abbildungen!M$35)</f>
        <v>8.0095451992088507E-2</v>
      </c>
      <c r="J50" s="3">
        <f>MVA_O_Strom!$D50*ABS(Abbildungen!N$35)</f>
        <v>0.11127590230972557</v>
      </c>
      <c r="K50" s="19">
        <f>MVA_O_Strom!$D50*ABS(Abbildungen!O$35)</f>
        <v>0.11127590230972557</v>
      </c>
    </row>
    <row r="51" spans="1:11" x14ac:dyDescent="0.25">
      <c r="A51" s="13">
        <v>47.758863480000002</v>
      </c>
      <c r="B51">
        <v>10.31910309</v>
      </c>
      <c r="C51" s="21">
        <v>141623.8798</v>
      </c>
      <c r="D51" s="61">
        <f t="shared" si="1"/>
        <v>8.1239482409125111E-3</v>
      </c>
      <c r="E51" s="69"/>
      <c r="F51" s="3">
        <f>MVA_O_Strom!$D51*ABS(Abbildungen!J$35)</f>
        <v>4.8215200284793683E-3</v>
      </c>
      <c r="G51" s="3">
        <f>MVA_O_Strom!$D51*ABS(Abbildungen!K$35)</f>
        <v>2.8086452356326109E-2</v>
      </c>
      <c r="H51" s="3">
        <f>MVA_O_Strom!$D51*ABS(Abbildungen!L$35)</f>
        <v>6.8814654287644286E-2</v>
      </c>
      <c r="I51" s="3">
        <f>MVA_O_Strom!$D51*ABS(Abbildungen!M$35)</f>
        <v>0.10193966622409749</v>
      </c>
      <c r="J51" s="3">
        <f>MVA_O_Strom!$D51*ABS(Abbildungen!N$35)</f>
        <v>0.14162387573965074</v>
      </c>
      <c r="K51" s="19">
        <f>MVA_O_Strom!$D51*ABS(Abbildungen!O$35)</f>
        <v>0.14162387573965074</v>
      </c>
    </row>
    <row r="52" spans="1:11" x14ac:dyDescent="0.25">
      <c r="A52" s="13">
        <v>49.435525699999999</v>
      </c>
      <c r="B52">
        <v>11.055467869999999</v>
      </c>
      <c r="C52" s="21">
        <v>236714.19899999999</v>
      </c>
      <c r="D52" s="61">
        <f t="shared" si="1"/>
        <v>1.3578599197259556E-2</v>
      </c>
      <c r="E52" s="69"/>
      <c r="F52" s="3">
        <f>MVA_O_Strom!$D52*ABS(Abbildungen!J$35)</f>
        <v>8.0588263301056007E-3</v>
      </c>
      <c r="G52" s="3">
        <f>MVA_O_Strom!$D52*ABS(Abbildungen!K$35)</f>
        <v>4.6944498919732291E-2</v>
      </c>
      <c r="H52" s="3">
        <f>MVA_O_Strom!$D52*ABS(Abbildungen!L$35)</f>
        <v>0.11501877926353514</v>
      </c>
      <c r="I52" s="3">
        <f>MVA_O_Strom!$D52*ABS(Abbildungen!M$35)</f>
        <v>0.17038487062098259</v>
      </c>
      <c r="J52" s="3">
        <f>MVA_O_Strom!$D52*ABS(Abbildungen!N$35)</f>
        <v>0.23671419221341619</v>
      </c>
      <c r="K52" s="19">
        <f>MVA_O_Strom!$D52*ABS(Abbildungen!O$35)</f>
        <v>0.23671419221341619</v>
      </c>
    </row>
    <row r="53" spans="1:11" x14ac:dyDescent="0.25">
      <c r="A53" s="13">
        <v>49.310034960000003</v>
      </c>
      <c r="B53">
        <v>12.0878943</v>
      </c>
      <c r="C53" s="21">
        <v>572565.1139</v>
      </c>
      <c r="D53" s="61">
        <f t="shared" si="1"/>
        <v>3.2843962165452385E-2</v>
      </c>
      <c r="E53" s="69"/>
      <c r="F53" s="3">
        <f>MVA_O_Strom!$D53*ABS(Abbildungen!J$35)</f>
        <v>1.9492716681508541E-2</v>
      </c>
      <c r="G53" s="3">
        <f>MVA_O_Strom!$D53*ABS(Abbildungen!K$35)</f>
        <v>0.11354951449682556</v>
      </c>
      <c r="H53" s="3">
        <f>MVA_O_Strom!$D53*ABS(Abbildungen!L$35)</f>
        <v>0.2782078165478572</v>
      </c>
      <c r="I53" s="3">
        <f>MVA_O_Strom!$D53*ABS(Abbildungen!M$35)</f>
        <v>0.41212750762762507</v>
      </c>
      <c r="J53" s="3">
        <f>MVA_O_Strom!$D53*ABS(Abbildungen!N$35)</f>
        <v>0.57256509748458795</v>
      </c>
      <c r="K53" s="19">
        <f>MVA_O_Strom!$D53*ABS(Abbildungen!O$35)</f>
        <v>0.57256509748458795</v>
      </c>
    </row>
    <row r="54" spans="1:11" x14ac:dyDescent="0.25">
      <c r="A54" s="13">
        <v>50.285288370000004</v>
      </c>
      <c r="B54">
        <v>10.954868729999999</v>
      </c>
      <c r="C54" s="21">
        <v>119368.69869999999</v>
      </c>
      <c r="D54" s="61">
        <f t="shared" si="1"/>
        <v>6.8473278037104058E-3</v>
      </c>
      <c r="E54" s="69"/>
      <c r="F54" s="3">
        <f>MVA_O_Strom!$D54*ABS(Abbildungen!J$35)</f>
        <v>4.0638525958216903E-3</v>
      </c>
      <c r="G54" s="3">
        <f>MVA_O_Strom!$D54*ABS(Abbildungen!K$35)</f>
        <v>2.3672866988312773E-2</v>
      </c>
      <c r="H54" s="3">
        <f>MVA_O_Strom!$D54*ABS(Abbildungen!L$35)</f>
        <v>5.8000922905139016E-2</v>
      </c>
      <c r="I54" s="3">
        <f>MVA_O_Strom!$D54*ABS(Abbildungen!M$35)</f>
        <v>8.5920575825679787E-2</v>
      </c>
      <c r="J54" s="3">
        <f>MVA_O_Strom!$D54*ABS(Abbildungen!N$35)</f>
        <v>0.11936869527770561</v>
      </c>
      <c r="K54" s="19">
        <f>MVA_O_Strom!$D54*ABS(Abbildungen!O$35)</f>
        <v>0.11936869527770561</v>
      </c>
    </row>
    <row r="55" spans="1:11" ht="15" customHeight="1" thickBot="1" x14ac:dyDescent="0.3">
      <c r="A55" s="14">
        <v>49.792690219999997</v>
      </c>
      <c r="B55" s="15">
        <v>9.9945928219999995</v>
      </c>
      <c r="C55" s="22">
        <v>188157.44029999999</v>
      </c>
      <c r="D55" s="70">
        <f t="shared" si="1"/>
        <v>1.0793245519741691E-2</v>
      </c>
      <c r="E55" s="71"/>
      <c r="F55" s="16">
        <f>MVA_O_Strom!$D55*ABS(Abbildungen!J$35)</f>
        <v>6.4057337519280487E-3</v>
      </c>
      <c r="G55" s="16">
        <f>MVA_O_Strom!$D55*ABS(Abbildungen!K$35)</f>
        <v>3.7314858129414298E-2</v>
      </c>
      <c r="H55" s="16">
        <f>MVA_O_Strom!$D55*ABS(Abbildungen!L$35)</f>
        <v>9.1425183550808004E-2</v>
      </c>
      <c r="I55" s="16">
        <f>MVA_O_Strom!$D55*ABS(Abbildungen!M$35)</f>
        <v>0.13543412797933072</v>
      </c>
      <c r="J55" s="16">
        <f>MVA_O_Strom!$D55*ABS(Abbildungen!N$35)</f>
        <v>0.18815743490553596</v>
      </c>
      <c r="K55" s="20">
        <f>MVA_O_Strom!$D55*ABS(Abbildungen!O$35)</f>
        <v>0.18815743490553596</v>
      </c>
    </row>
    <row r="56" spans="1:11" ht="15" customHeight="1" thickBot="1" x14ac:dyDescent="0.3">
      <c r="A56" s="17"/>
      <c r="B56" s="18"/>
      <c r="C56" s="72">
        <f>SUM(C2:C55)</f>
        <v>17432887.999799997</v>
      </c>
      <c r="D56" s="73">
        <f t="shared" si="1"/>
        <v>1</v>
      </c>
      <c r="E56" s="18"/>
      <c r="F56" s="74">
        <f t="shared" ref="F56:K56" si="2">SUM(F2:F55)</f>
        <v>0.59349467592592631</v>
      </c>
      <c r="G56" s="74">
        <f t="shared" si="2"/>
        <v>3.4572416666666679</v>
      </c>
      <c r="H56" s="74">
        <f t="shared" si="2"/>
        <v>8.470592407407409</v>
      </c>
      <c r="I56" s="74">
        <f t="shared" si="2"/>
        <v>12.548044768518521</v>
      </c>
      <c r="J56" s="74">
        <f t="shared" si="2"/>
        <v>17.432887500000007</v>
      </c>
      <c r="K56" s="75">
        <f t="shared" si="2"/>
        <v>17.432887500000007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72</v>
      </c>
      <c r="B1" t="s">
        <v>77</v>
      </c>
      <c r="C1" t="s">
        <v>25</v>
      </c>
    </row>
    <row r="2" spans="1:3" x14ac:dyDescent="0.25">
      <c r="A2">
        <v>49.529099799999997</v>
      </c>
      <c r="B2">
        <v>8.4247174900000008</v>
      </c>
      <c r="C2">
        <v>344560.7</v>
      </c>
    </row>
    <row r="3" spans="1:3" x14ac:dyDescent="0.25">
      <c r="A3">
        <v>50.814110399999997</v>
      </c>
      <c r="B3">
        <v>7.0057562799999999</v>
      </c>
      <c r="C3">
        <v>308134</v>
      </c>
    </row>
    <row r="4" spans="1:3" x14ac:dyDescent="0.25">
      <c r="A4">
        <v>51.289677300000001</v>
      </c>
      <c r="B4">
        <v>11.9905822</v>
      </c>
      <c r="C4">
        <v>498864.21</v>
      </c>
    </row>
    <row r="5" spans="1:3" x14ac:dyDescent="0.25">
      <c r="A5">
        <v>51.539606999999997</v>
      </c>
      <c r="B5">
        <v>7.03720284</v>
      </c>
      <c r="C5">
        <v>222473.09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8"/>
  <sheetViews>
    <sheetView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72</v>
      </c>
      <c r="B1" t="s">
        <v>73</v>
      </c>
      <c r="C1" t="s">
        <v>25</v>
      </c>
    </row>
    <row r="2" spans="1:3" x14ac:dyDescent="0.25">
      <c r="A2">
        <v>48.194976570000001</v>
      </c>
      <c r="B2">
        <v>12.83249114</v>
      </c>
      <c r="C2">
        <v>632995.10329999996</v>
      </c>
    </row>
    <row r="3" spans="1:3" x14ac:dyDescent="0.25">
      <c r="A3">
        <v>49.057809290000002</v>
      </c>
      <c r="B3">
        <v>8.3290499919999998</v>
      </c>
      <c r="C3">
        <v>683935.62529999996</v>
      </c>
    </row>
    <row r="4" spans="1:3" x14ac:dyDescent="0.25">
      <c r="A4">
        <v>48.79199234</v>
      </c>
      <c r="B4">
        <v>11.47731516</v>
      </c>
      <c r="C4">
        <v>934159.69750000001</v>
      </c>
    </row>
    <row r="5" spans="1:3" x14ac:dyDescent="0.25">
      <c r="A5">
        <v>48.765795689999997</v>
      </c>
      <c r="B5">
        <v>11.59885571</v>
      </c>
      <c r="C5">
        <v>280136.21590000001</v>
      </c>
    </row>
    <row r="6" spans="1:3" x14ac:dyDescent="0.25">
      <c r="A6">
        <v>48.784993229999998</v>
      </c>
      <c r="B6">
        <v>11.75797661</v>
      </c>
      <c r="C6">
        <v>506825.39039999997</v>
      </c>
    </row>
    <row r="7" spans="1:3" x14ac:dyDescent="0.25">
      <c r="A7">
        <v>53.08758529</v>
      </c>
      <c r="B7">
        <v>14.238121530000001</v>
      </c>
      <c r="C7">
        <v>1868319.3959999999</v>
      </c>
    </row>
    <row r="8" spans="1:3" x14ac:dyDescent="0.25">
      <c r="A8">
        <v>53.477085860000003</v>
      </c>
      <c r="B8">
        <v>9.9515818940000003</v>
      </c>
      <c r="C8">
        <v>679458.67110000004</v>
      </c>
    </row>
    <row r="9" spans="1:3" x14ac:dyDescent="0.25">
      <c r="A9">
        <v>51.289677300000001</v>
      </c>
      <c r="B9">
        <v>11.99058215</v>
      </c>
      <c r="C9">
        <v>1931247.79</v>
      </c>
    </row>
    <row r="10" spans="1:3" x14ac:dyDescent="0.25">
      <c r="A10">
        <v>52.561854279999999</v>
      </c>
      <c r="B10">
        <v>7.3118146409999998</v>
      </c>
      <c r="C10">
        <v>833846.88379999995</v>
      </c>
    </row>
    <row r="11" spans="1:3" x14ac:dyDescent="0.25">
      <c r="A11">
        <v>50.854993370000003</v>
      </c>
      <c r="B11">
        <v>6.9768455359999999</v>
      </c>
      <c r="C11">
        <v>1143790.9480000001</v>
      </c>
    </row>
    <row r="12" spans="1:3" x14ac:dyDescent="0.25">
      <c r="A12">
        <v>50.814110419999999</v>
      </c>
      <c r="B12">
        <v>7.0057562789999999</v>
      </c>
      <c r="C12">
        <v>1616226.34</v>
      </c>
    </row>
    <row r="13" spans="1:3" x14ac:dyDescent="0.25">
      <c r="A13">
        <v>54.160831209999998</v>
      </c>
      <c r="B13">
        <v>9.0797744320000007</v>
      </c>
      <c r="C13">
        <v>764312.47979999997</v>
      </c>
    </row>
    <row r="14" spans="1:3" x14ac:dyDescent="0.25">
      <c r="A14">
        <v>52.417017999999999</v>
      </c>
      <c r="B14">
        <v>10.178959000000001</v>
      </c>
      <c r="C14">
        <v>85272.609989999997</v>
      </c>
    </row>
    <row r="15" spans="1:3" x14ac:dyDescent="0.25">
      <c r="A15">
        <v>51.53960695</v>
      </c>
      <c r="B15">
        <v>7.0372028440000003</v>
      </c>
      <c r="C15">
        <v>548179.29359999998</v>
      </c>
    </row>
    <row r="16" spans="1:3" x14ac:dyDescent="0.25">
      <c r="A16">
        <v>49.529099799999997</v>
      </c>
      <c r="B16">
        <v>8.4247174900000008</v>
      </c>
      <c r="C16">
        <v>829744.39580000006</v>
      </c>
    </row>
    <row r="18" spans="3:3" x14ac:dyDescent="0.25">
      <c r="C18" s="1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>
      <selection activeCell="E28" sqref="E28"/>
    </sheetView>
  </sheetViews>
  <sheetFormatPr baseColWidth="10" defaultRowHeight="15" x14ac:dyDescent="0.25"/>
  <cols>
    <col min="1" max="2" width="12" bestFit="1" customWidth="1"/>
    <col min="3" max="3" width="15.140625" bestFit="1" customWidth="1"/>
  </cols>
  <sheetData>
    <row r="1" spans="1:3" x14ac:dyDescent="0.25">
      <c r="A1" t="s">
        <v>72</v>
      </c>
      <c r="B1" t="s">
        <v>73</v>
      </c>
      <c r="C1" t="s">
        <v>25</v>
      </c>
    </row>
    <row r="2" spans="1:3" x14ac:dyDescent="0.25">
      <c r="A2">
        <v>50.854993370000003</v>
      </c>
      <c r="B2">
        <v>6.9768455359999999</v>
      </c>
      <c r="C2">
        <v>288884.09250000003</v>
      </c>
    </row>
    <row r="3" spans="1:3" x14ac:dyDescent="0.25">
      <c r="A3">
        <v>49.529099799999997</v>
      </c>
      <c r="B3">
        <v>8.4247174900000008</v>
      </c>
      <c r="C3">
        <v>954865.9044</v>
      </c>
    </row>
    <row r="4" spans="1:3" x14ac:dyDescent="0.25">
      <c r="A4">
        <v>51.878593369999997</v>
      </c>
      <c r="B4">
        <v>12.575128550000001</v>
      </c>
      <c r="C4">
        <v>1542941.2109999999</v>
      </c>
    </row>
    <row r="5" spans="1:3" x14ac:dyDescent="0.25">
      <c r="A5">
        <v>53.910644339999997</v>
      </c>
      <c r="B5">
        <v>9.2078709439999997</v>
      </c>
      <c r="C5">
        <v>936262.79180000001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Info</vt:lpstr>
      <vt:lpstr>Process-emission_LFS</vt:lpstr>
      <vt:lpstr>Abbildungen</vt:lpstr>
      <vt:lpstr>Assumptions</vt:lpstr>
      <vt:lpstr>Process-emissions</vt:lpstr>
      <vt:lpstr>Pivot_compare</vt:lpstr>
      <vt:lpstr>process_emissions_S1</vt:lpstr>
      <vt:lpstr>process_emissions_S2</vt:lpstr>
      <vt:lpstr>process_emissions</vt:lpstr>
      <vt:lpstr>Zement_O_Strom</vt:lpstr>
      <vt:lpstr>Kalk_O_Strom</vt:lpstr>
      <vt:lpstr>MVA_O_Strom</vt:lpstr>
      <vt:lpstr>Methanol_O_Strom</vt:lpstr>
      <vt:lpstr>Olefins_O_Strom</vt:lpstr>
      <vt:lpstr>Ammoniak_O_Strom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Al-Dabbas, Khaled</cp:lastModifiedBy>
  <dcterms:created xsi:type="dcterms:W3CDTF">2015-06-05T18:19:34Z</dcterms:created>
  <dcterms:modified xsi:type="dcterms:W3CDTF">2026-06-08T11:46:01Z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0x01010060A5C0FFAD9DBD4B89C380D43A3EC04A</vt:lpwstr>
  </property>
</Properties>
</file>